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Calculator" sheetId="1" state="visible" r:id="rId1"/>
    <sheet xmlns:r="http://schemas.openxmlformats.org/officeDocument/2006/relationships" name="Maintenance Plans" sheetId="2" state="visible" r:id="rId2"/>
    <sheet xmlns:r="http://schemas.openxmlformats.org/officeDocument/2006/relationships" name="App Complexity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1B2A4A"/>
      <sz val="11"/>
    </font>
    <font>
      <name val="Calibri"/>
      <sz val="10"/>
    </font>
    <font>
      <name val="Calibri"/>
      <b val="1"/>
      <color rgb="001B2A4A"/>
      <sz val="12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2E75B6"/>
        <bgColor rgb="002E75B6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 wrapText="1"/>
    </xf>
    <xf numFmtId="0" fontId="6" fillId="5" borderId="1" pivotButton="0" quotePrefix="0" xfId="0"/>
    <xf numFmtId="0" fontId="0" fillId="5" borderId="1" pivotButton="0" quotePrefix="0" xfId="0"/>
    <xf numFmtId="3" fontId="6" fillId="5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0" fontId="1" fillId="6" borderId="1" pivotButton="0" quotePrefix="0" xfId="0"/>
    <xf numFmtId="0" fontId="0" fillId="6" borderId="1" pivotButton="0" quotePrefix="0" xfId="0"/>
    <xf numFmtId="3" fontId="1" fillId="6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15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5" customWidth="1" min="4" max="4"/>
    <col width="15" customWidth="1" min="5" max="5"/>
    <col width="18" customWidth="1" min="6" max="6"/>
    <col width="15" customWidth="1" min="7" max="7"/>
    <col width="20" customWidth="1" min="8" max="8"/>
  </cols>
  <sheetData>
    <row r="1">
      <c r="A1" s="1" t="inlineStr">
        <is>
          <t>MOBILE APPLICATION — PRICING CALCULATOR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Client Name:</t>
        </is>
      </c>
    </row>
    <row r="3">
      <c r="A3" s="3" t="inlineStr">
        <is>
          <t>Project Name:</t>
        </is>
      </c>
    </row>
    <row r="4">
      <c r="A4" s="3" t="inlineStr">
        <is>
          <t>Platform: Android / iOS / Both</t>
        </is>
      </c>
    </row>
    <row r="6">
      <c r="A6" s="4" t="inlineStr">
        <is>
          <t>#</t>
        </is>
      </c>
      <c r="B6" s="4" t="inlineStr">
        <is>
          <t>Item / Parameter</t>
        </is>
      </c>
      <c r="C6" s="4" t="inlineStr">
        <is>
          <t>Category</t>
        </is>
      </c>
      <c r="D6" s="4" t="inlineStr">
        <is>
          <t>Unit Cost (₹)</t>
        </is>
      </c>
      <c r="E6" s="4" t="inlineStr">
        <is>
          <t>Quantity</t>
        </is>
      </c>
      <c r="F6" s="4" t="inlineStr">
        <is>
          <t>Total (₹)</t>
        </is>
      </c>
      <c r="G6" s="4" t="inlineStr">
        <is>
          <t>Required?</t>
        </is>
      </c>
      <c r="H6" s="4" t="inlineStr">
        <is>
          <t>Notes</t>
        </is>
      </c>
    </row>
    <row r="7">
      <c r="A7" s="5" t="inlineStr">
        <is>
          <t>APP STORE &amp; DEPLOYMENT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7" t="n">
        <v>1</v>
      </c>
      <c r="B8" s="8" t="inlineStr">
        <is>
          <t>Google Play Developer Account ($25)</t>
        </is>
      </c>
      <c r="C8" s="8" t="inlineStr">
        <is>
          <t>Store</t>
        </is>
      </c>
      <c r="D8" s="9" t="n">
        <v>2100</v>
      </c>
      <c r="E8" s="7" t="n">
        <v>1</v>
      </c>
      <c r="F8" s="9">
        <f>D8*E8</f>
        <v/>
      </c>
      <c r="G8" s="7" t="inlineStr">
        <is>
          <t>Yes</t>
        </is>
      </c>
      <c r="H8" s="8" t="n"/>
    </row>
    <row r="9">
      <c r="A9" s="10" t="n">
        <v>2</v>
      </c>
      <c r="B9" s="11" t="inlineStr">
        <is>
          <t>Apple Developer Account ($99/yr)</t>
        </is>
      </c>
      <c r="C9" s="11" t="inlineStr">
        <is>
          <t>Store</t>
        </is>
      </c>
      <c r="D9" s="12" t="n">
        <v>8300</v>
      </c>
      <c r="E9" s="10" t="n">
        <v>1</v>
      </c>
      <c r="F9" s="12">
        <f>D9*E9</f>
        <v/>
      </c>
      <c r="G9" s="10" t="inlineStr">
        <is>
          <t>Yes</t>
        </is>
      </c>
      <c r="H9" s="11" t="n"/>
    </row>
    <row r="10">
      <c r="A10" s="7" t="n">
        <v>3</v>
      </c>
      <c r="B10" s="8" t="inlineStr">
        <is>
          <t>App Store Listing &amp; ASO (per store)</t>
        </is>
      </c>
      <c r="C10" s="8" t="inlineStr">
        <is>
          <t>Store</t>
        </is>
      </c>
      <c r="D10" s="9" t="n">
        <v>5000</v>
      </c>
      <c r="E10" s="7" t="n">
        <v>1</v>
      </c>
      <c r="F10" s="9">
        <f>D10*E10</f>
        <v/>
      </c>
      <c r="G10" s="7" t="inlineStr">
        <is>
          <t>Yes</t>
        </is>
      </c>
      <c r="H10" s="8" t="n"/>
    </row>
    <row r="11">
      <c r="A11" s="10" t="n">
        <v>4</v>
      </c>
      <c r="B11" s="11" t="inlineStr">
        <is>
          <t>App Store Screenshots Design (per store)</t>
        </is>
      </c>
      <c r="C11" s="11" t="inlineStr">
        <is>
          <t>Store</t>
        </is>
      </c>
      <c r="D11" s="12" t="n">
        <v>3000</v>
      </c>
      <c r="E11" s="10" t="n">
        <v>1</v>
      </c>
      <c r="F11" s="12">
        <f>D11*E11</f>
        <v/>
      </c>
      <c r="G11" s="10" t="inlineStr">
        <is>
          <t>Yes</t>
        </is>
      </c>
      <c r="H11" s="11" t="n"/>
    </row>
    <row r="12">
      <c r="A12" s="7" t="n">
        <v>5</v>
      </c>
      <c r="B12" s="8" t="inlineStr">
        <is>
          <t>CI/CD Pipeline Setup</t>
        </is>
      </c>
      <c r="C12" s="8" t="inlineStr">
        <is>
          <t>DevOps</t>
        </is>
      </c>
      <c r="D12" s="9" t="n">
        <v>10000</v>
      </c>
      <c r="E12" s="7" t="n">
        <v>1</v>
      </c>
      <c r="F12" s="9">
        <f>D12*E12</f>
        <v/>
      </c>
      <c r="G12" s="7" t="inlineStr">
        <is>
          <t>Yes</t>
        </is>
      </c>
      <c r="H12" s="8" t="n"/>
    </row>
    <row r="13">
      <c r="A13" s="5" t="inlineStr">
        <is>
          <t>DESIGN &amp; UI/UX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10" t="n">
        <v>6</v>
      </c>
      <c r="B14" s="11" t="inlineStr">
        <is>
          <t>User Flow &amp; Wireframes</t>
        </is>
      </c>
      <c r="C14" s="11" t="inlineStr">
        <is>
          <t>Design</t>
        </is>
      </c>
      <c r="D14" s="12" t="n">
        <v>10000</v>
      </c>
      <c r="E14" s="10" t="n">
        <v>1</v>
      </c>
      <c r="F14" s="12">
        <f>D14*E14</f>
        <v/>
      </c>
      <c r="G14" s="10" t="inlineStr">
        <is>
          <t>Yes</t>
        </is>
      </c>
      <c r="H14" s="11" t="n"/>
    </row>
    <row r="15">
      <c r="A15" s="7" t="n">
        <v>7</v>
      </c>
      <c r="B15" s="8" t="inlineStr">
        <is>
          <t>High-Fidelity Mockups (per screen)</t>
        </is>
      </c>
      <c r="C15" s="8" t="inlineStr">
        <is>
          <t>Design</t>
        </is>
      </c>
      <c r="D15" s="9" t="n">
        <v>3000</v>
      </c>
      <c r="E15" s="7" t="n">
        <v>1</v>
      </c>
      <c r="F15" s="9">
        <f>D15*E15</f>
        <v/>
      </c>
      <c r="G15" s="7" t="inlineStr">
        <is>
          <t>Yes</t>
        </is>
      </c>
      <c r="H15" s="8" t="n"/>
    </row>
    <row r="16">
      <c r="A16" s="10" t="n">
        <v>8</v>
      </c>
      <c r="B16" s="11" t="inlineStr">
        <is>
          <t>Interactive Prototype</t>
        </is>
      </c>
      <c r="C16" s="11" t="inlineStr">
        <is>
          <t>Design</t>
        </is>
      </c>
      <c r="D16" s="12" t="n">
        <v>8000</v>
      </c>
      <c r="E16" s="10" t="n">
        <v>1</v>
      </c>
      <c r="F16" s="12">
        <f>D16*E16</f>
        <v/>
      </c>
      <c r="G16" s="10" t="inlineStr">
        <is>
          <t>Yes</t>
        </is>
      </c>
      <c r="H16" s="11" t="n"/>
    </row>
    <row r="17">
      <c r="A17" s="7" t="n">
        <v>9</v>
      </c>
      <c r="B17" s="8" t="inlineStr">
        <is>
          <t>App Icon Design (all sizes)</t>
        </is>
      </c>
      <c r="C17" s="8" t="inlineStr">
        <is>
          <t>Design</t>
        </is>
      </c>
      <c r="D17" s="9" t="n">
        <v>3000</v>
      </c>
      <c r="E17" s="7" t="n">
        <v>1</v>
      </c>
      <c r="F17" s="9">
        <f>D17*E17</f>
        <v/>
      </c>
      <c r="G17" s="7" t="inlineStr">
        <is>
          <t>Yes</t>
        </is>
      </c>
      <c r="H17" s="8" t="n"/>
    </row>
    <row r="18">
      <c r="A18" s="10" t="n">
        <v>10</v>
      </c>
      <c r="B18" s="11" t="inlineStr">
        <is>
          <t>Splash Screen Design</t>
        </is>
      </c>
      <c r="C18" s="11" t="inlineStr">
        <is>
          <t>Design</t>
        </is>
      </c>
      <c r="D18" s="12" t="n">
        <v>2000</v>
      </c>
      <c r="E18" s="10" t="n">
        <v>1</v>
      </c>
      <c r="F18" s="12">
        <f>D18*E18</f>
        <v/>
      </c>
      <c r="G18" s="10" t="inlineStr">
        <is>
          <t>Yes</t>
        </is>
      </c>
      <c r="H18" s="11" t="n"/>
    </row>
    <row r="19">
      <c r="A19" s="7" t="n">
        <v>11</v>
      </c>
      <c r="B19" s="8" t="inlineStr">
        <is>
          <t>Onboarding Screen Design (3-5 screens)</t>
        </is>
      </c>
      <c r="C19" s="8" t="inlineStr">
        <is>
          <t>Design</t>
        </is>
      </c>
      <c r="D19" s="9" t="n">
        <v>5000</v>
      </c>
      <c r="E19" s="7" t="n">
        <v>1</v>
      </c>
      <c r="F19" s="9">
        <f>D19*E19</f>
        <v/>
      </c>
      <c r="G19" s="7" t="inlineStr">
        <is>
          <t>Yes</t>
        </is>
      </c>
      <c r="H19" s="8" t="n"/>
    </row>
    <row r="20">
      <c r="A20" s="10" t="n">
        <v>12</v>
      </c>
      <c r="B20" s="11" t="inlineStr">
        <is>
          <t>Custom Illustrations / Lottie Animations</t>
        </is>
      </c>
      <c r="C20" s="11" t="inlineStr">
        <is>
          <t>Design</t>
        </is>
      </c>
      <c r="D20" s="12" t="n">
        <v>8000</v>
      </c>
      <c r="E20" s="10" t="n">
        <v>1</v>
      </c>
      <c r="F20" s="12">
        <f>D20*E20</f>
        <v/>
      </c>
      <c r="G20" s="10" t="inlineStr">
        <is>
          <t>Yes</t>
        </is>
      </c>
      <c r="H20" s="11" t="n"/>
    </row>
    <row r="21">
      <c r="A21" s="7" t="n">
        <v>13</v>
      </c>
      <c r="B21" s="8" t="inlineStr">
        <is>
          <t>Dark Mode Design</t>
        </is>
      </c>
      <c r="C21" s="8" t="inlineStr">
        <is>
          <t>Design</t>
        </is>
      </c>
      <c r="D21" s="9" t="n">
        <v>5000</v>
      </c>
      <c r="E21" s="7" t="n">
        <v>1</v>
      </c>
      <c r="F21" s="9">
        <f>D21*E21</f>
        <v/>
      </c>
      <c r="G21" s="7" t="inlineStr">
        <is>
          <t>Yes</t>
        </is>
      </c>
      <c r="H21" s="8" t="n"/>
    </row>
    <row r="22">
      <c r="A22" s="10" t="n">
        <v>14</v>
      </c>
      <c r="B22" s="11" t="inlineStr">
        <is>
          <t>Tablet Layout Design</t>
        </is>
      </c>
      <c r="C22" s="11" t="inlineStr">
        <is>
          <t>Design</t>
        </is>
      </c>
      <c r="D22" s="12" t="n">
        <v>8000</v>
      </c>
      <c r="E22" s="10" t="n">
        <v>1</v>
      </c>
      <c r="F22" s="12">
        <f>D22*E22</f>
        <v/>
      </c>
      <c r="G22" s="10" t="inlineStr">
        <is>
          <t>Yes</t>
        </is>
      </c>
      <c r="H22" s="11" t="n"/>
    </row>
    <row r="23">
      <c r="A23" s="7" t="n">
        <v>15</v>
      </c>
      <c r="B23" s="8" t="inlineStr">
        <is>
          <t>Design System Documentation</t>
        </is>
      </c>
      <c r="C23" s="8" t="inlineStr">
        <is>
          <t>Design</t>
        </is>
      </c>
      <c r="D23" s="9" t="n">
        <v>5000</v>
      </c>
      <c r="E23" s="7" t="n">
        <v>1</v>
      </c>
      <c r="F23" s="9">
        <f>D23*E23</f>
        <v/>
      </c>
      <c r="G23" s="7" t="inlineStr">
        <is>
          <t>Yes</t>
        </is>
      </c>
      <c r="H23" s="8" t="n"/>
    </row>
    <row r="24">
      <c r="A24" s="5" t="inlineStr">
        <is>
          <t>AUTHENTICATION</t>
        </is>
      </c>
      <c r="B24" s="6" t="n"/>
      <c r="C24" s="6" t="n"/>
      <c r="D24" s="6" t="n"/>
      <c r="E24" s="6" t="n"/>
      <c r="F24" s="6" t="n"/>
      <c r="G24" s="6" t="n"/>
      <c r="H24" s="6" t="n"/>
    </row>
    <row r="25">
      <c r="A25" s="10" t="n">
        <v>16</v>
      </c>
      <c r="B25" s="11" t="inlineStr">
        <is>
          <t>Email/Password Login</t>
        </is>
      </c>
      <c r="C25" s="11" t="inlineStr">
        <is>
          <t>Auth</t>
        </is>
      </c>
      <c r="D25" s="12" t="n">
        <v>8000</v>
      </c>
      <c r="E25" s="10" t="n">
        <v>1</v>
      </c>
      <c r="F25" s="12">
        <f>D25*E25</f>
        <v/>
      </c>
      <c r="G25" s="10" t="inlineStr">
        <is>
          <t>Yes</t>
        </is>
      </c>
      <c r="H25" s="11" t="n"/>
    </row>
    <row r="26">
      <c r="A26" s="7" t="n">
        <v>17</v>
      </c>
      <c r="B26" s="8" t="inlineStr">
        <is>
          <t>Phone/OTP Login</t>
        </is>
      </c>
      <c r="C26" s="8" t="inlineStr">
        <is>
          <t>Auth</t>
        </is>
      </c>
      <c r="D26" s="9" t="n">
        <v>8000</v>
      </c>
      <c r="E26" s="7" t="n">
        <v>1</v>
      </c>
      <c r="F26" s="9">
        <f>D26*E26</f>
        <v/>
      </c>
      <c r="G26" s="7" t="inlineStr">
        <is>
          <t>Yes</t>
        </is>
      </c>
      <c r="H26" s="8" t="n"/>
    </row>
    <row r="27">
      <c r="A27" s="10" t="n">
        <v>18</v>
      </c>
      <c r="B27" s="11" t="inlineStr">
        <is>
          <t>Google Sign-In</t>
        </is>
      </c>
      <c r="C27" s="11" t="inlineStr">
        <is>
          <t>Auth</t>
        </is>
      </c>
      <c r="D27" s="12" t="n">
        <v>4000</v>
      </c>
      <c r="E27" s="10" t="n">
        <v>1</v>
      </c>
      <c r="F27" s="12">
        <f>D27*E27</f>
        <v/>
      </c>
      <c r="G27" s="10" t="inlineStr">
        <is>
          <t>Yes</t>
        </is>
      </c>
      <c r="H27" s="11" t="n"/>
    </row>
    <row r="28">
      <c r="A28" s="7" t="n">
        <v>19</v>
      </c>
      <c r="B28" s="8" t="inlineStr">
        <is>
          <t>Apple Sign-In</t>
        </is>
      </c>
      <c r="C28" s="8" t="inlineStr">
        <is>
          <t>Auth</t>
        </is>
      </c>
      <c r="D28" s="9" t="n">
        <v>5000</v>
      </c>
      <c r="E28" s="7" t="n">
        <v>1</v>
      </c>
      <c r="F28" s="9">
        <f>D28*E28</f>
        <v/>
      </c>
      <c r="G28" s="7" t="inlineStr">
        <is>
          <t>Yes</t>
        </is>
      </c>
      <c r="H28" s="8" t="n"/>
    </row>
    <row r="29">
      <c r="A29" s="10" t="n">
        <v>20</v>
      </c>
      <c r="B29" s="11" t="inlineStr">
        <is>
          <t>Facebook Login</t>
        </is>
      </c>
      <c r="C29" s="11" t="inlineStr">
        <is>
          <t>Auth</t>
        </is>
      </c>
      <c r="D29" s="12" t="n">
        <v>4000</v>
      </c>
      <c r="E29" s="10" t="n">
        <v>1</v>
      </c>
      <c r="F29" s="12">
        <f>D29*E29</f>
        <v/>
      </c>
      <c r="G29" s="10" t="inlineStr">
        <is>
          <t>Yes</t>
        </is>
      </c>
      <c r="H29" s="11" t="n"/>
    </row>
    <row r="30">
      <c r="A30" s="7" t="n">
        <v>21</v>
      </c>
      <c r="B30" s="8" t="inlineStr">
        <is>
          <t>Biometric Auth (Fingerprint/Face)</t>
        </is>
      </c>
      <c r="C30" s="8" t="inlineStr">
        <is>
          <t>Auth</t>
        </is>
      </c>
      <c r="D30" s="9" t="n">
        <v>5000</v>
      </c>
      <c r="E30" s="7" t="n">
        <v>1</v>
      </c>
      <c r="F30" s="9">
        <f>D30*E30</f>
        <v/>
      </c>
      <c r="G30" s="7" t="inlineStr">
        <is>
          <t>Yes</t>
        </is>
      </c>
      <c r="H30" s="8" t="n"/>
    </row>
    <row r="31">
      <c r="A31" s="10" t="n">
        <v>22</v>
      </c>
      <c r="B31" s="11" t="inlineStr">
        <is>
          <t>Two-Factor Authentication</t>
        </is>
      </c>
      <c r="C31" s="11" t="inlineStr">
        <is>
          <t>Auth</t>
        </is>
      </c>
      <c r="D31" s="12" t="n">
        <v>8000</v>
      </c>
      <c r="E31" s="10" t="n">
        <v>1</v>
      </c>
      <c r="F31" s="12">
        <f>D31*E31</f>
        <v/>
      </c>
      <c r="G31" s="10" t="inlineStr">
        <is>
          <t>Yes</t>
        </is>
      </c>
      <c r="H31" s="11" t="n"/>
    </row>
    <row r="32">
      <c r="A32" s="7" t="n">
        <v>23</v>
      </c>
      <c r="B32" s="8" t="inlineStr">
        <is>
          <t>Session Management &amp; Token Refresh</t>
        </is>
      </c>
      <c r="C32" s="8" t="inlineStr">
        <is>
          <t>Auth</t>
        </is>
      </c>
      <c r="D32" s="9" t="n">
        <v>5000</v>
      </c>
      <c r="E32" s="7" t="n">
        <v>1</v>
      </c>
      <c r="F32" s="9">
        <f>D32*E32</f>
        <v/>
      </c>
      <c r="G32" s="7" t="inlineStr">
        <is>
          <t>Yes</t>
        </is>
      </c>
      <c r="H32" s="8" t="n"/>
    </row>
    <row r="33">
      <c r="A33" s="10" t="n">
        <v>24</v>
      </c>
      <c r="B33" s="11" t="inlineStr">
        <is>
          <t>Account Deletion Feature</t>
        </is>
      </c>
      <c r="C33" s="11" t="inlineStr">
        <is>
          <t>Auth</t>
        </is>
      </c>
      <c r="D33" s="12" t="n">
        <v>3000</v>
      </c>
      <c r="E33" s="10" t="n">
        <v>1</v>
      </c>
      <c r="F33" s="12">
        <f>D33*E33</f>
        <v/>
      </c>
      <c r="G33" s="10" t="inlineStr">
        <is>
          <t>Yes</t>
        </is>
      </c>
      <c r="H33" s="11" t="n"/>
    </row>
    <row r="34">
      <c r="A34" s="7" t="n">
        <v>25</v>
      </c>
      <c r="B34" s="8" t="inlineStr">
        <is>
          <t>Role-Based Access Control</t>
        </is>
      </c>
      <c r="C34" s="8" t="inlineStr">
        <is>
          <t>Auth</t>
        </is>
      </c>
      <c r="D34" s="9" t="n">
        <v>8000</v>
      </c>
      <c r="E34" s="7" t="n">
        <v>1</v>
      </c>
      <c r="F34" s="9">
        <f>D34*E34</f>
        <v/>
      </c>
      <c r="G34" s="7" t="inlineStr">
        <is>
          <t>Yes</t>
        </is>
      </c>
      <c r="H34" s="8" t="n"/>
    </row>
    <row r="35">
      <c r="A35" s="5" t="inlineStr">
        <is>
          <t>CORE SCREEN DEVELOPMENT</t>
        </is>
      </c>
      <c r="B35" s="6" t="n"/>
      <c r="C35" s="6" t="n"/>
      <c r="D35" s="6" t="n"/>
      <c r="E35" s="6" t="n"/>
      <c r="F35" s="6" t="n"/>
      <c r="G35" s="6" t="n"/>
      <c r="H35" s="6" t="n"/>
    </row>
    <row r="36">
      <c r="A36" s="10" t="n">
        <v>26</v>
      </c>
      <c r="B36" s="11" t="inlineStr">
        <is>
          <t>Splash Screen</t>
        </is>
      </c>
      <c r="C36" s="11" t="inlineStr">
        <is>
          <t>Screens</t>
        </is>
      </c>
      <c r="D36" s="12" t="n">
        <v>3000</v>
      </c>
      <c r="E36" s="10" t="n">
        <v>1</v>
      </c>
      <c r="F36" s="12">
        <f>D36*E36</f>
        <v/>
      </c>
      <c r="G36" s="10" t="inlineStr">
        <is>
          <t>Yes</t>
        </is>
      </c>
      <c r="H36" s="11" t="n"/>
    </row>
    <row r="37">
      <c r="A37" s="7" t="n">
        <v>27</v>
      </c>
      <c r="B37" s="8" t="inlineStr">
        <is>
          <t>Onboarding Flow (3-5 screens)</t>
        </is>
      </c>
      <c r="C37" s="8" t="inlineStr">
        <is>
          <t>Screens</t>
        </is>
      </c>
      <c r="D37" s="9" t="n">
        <v>8000</v>
      </c>
      <c r="E37" s="7" t="n">
        <v>1</v>
      </c>
      <c r="F37" s="9">
        <f>D37*E37</f>
        <v/>
      </c>
      <c r="G37" s="7" t="inlineStr">
        <is>
          <t>Yes</t>
        </is>
      </c>
      <c r="H37" s="8" t="n"/>
    </row>
    <row r="38">
      <c r="A38" s="10" t="n">
        <v>28</v>
      </c>
      <c r="B38" s="11" t="inlineStr">
        <is>
          <t>Home / Main Screen</t>
        </is>
      </c>
      <c r="C38" s="11" t="inlineStr">
        <is>
          <t>Screens</t>
        </is>
      </c>
      <c r="D38" s="12" t="n">
        <v>10000</v>
      </c>
      <c r="E38" s="10" t="n">
        <v>1</v>
      </c>
      <c r="F38" s="12">
        <f>D38*E38</f>
        <v/>
      </c>
      <c r="G38" s="10" t="inlineStr">
        <is>
          <t>Yes</t>
        </is>
      </c>
      <c r="H38" s="11" t="n"/>
    </row>
    <row r="39">
      <c r="A39" s="7" t="n">
        <v>29</v>
      </c>
      <c r="B39" s="8" t="inlineStr">
        <is>
          <t>Profile Screen</t>
        </is>
      </c>
      <c r="C39" s="8" t="inlineStr">
        <is>
          <t>Screens</t>
        </is>
      </c>
      <c r="D39" s="9" t="n">
        <v>6000</v>
      </c>
      <c r="E39" s="7" t="n">
        <v>1</v>
      </c>
      <c r="F39" s="9">
        <f>D39*E39</f>
        <v/>
      </c>
      <c r="G39" s="7" t="inlineStr">
        <is>
          <t>Yes</t>
        </is>
      </c>
      <c r="H39" s="8" t="n"/>
    </row>
    <row r="40">
      <c r="A40" s="10" t="n">
        <v>30</v>
      </c>
      <c r="B40" s="11" t="inlineStr">
        <is>
          <t>Settings Screen</t>
        </is>
      </c>
      <c r="C40" s="11" t="inlineStr">
        <is>
          <t>Screens</t>
        </is>
      </c>
      <c r="D40" s="12" t="n">
        <v>5000</v>
      </c>
      <c r="E40" s="10" t="n">
        <v>1</v>
      </c>
      <c r="F40" s="12">
        <f>D40*E40</f>
        <v/>
      </c>
      <c r="G40" s="10" t="inlineStr">
        <is>
          <t>Yes</t>
        </is>
      </c>
      <c r="H40" s="11" t="n"/>
    </row>
    <row r="41">
      <c r="A41" s="7" t="n">
        <v>31</v>
      </c>
      <c r="B41" s="8" t="inlineStr">
        <is>
          <t>Search Screen with Filters</t>
        </is>
      </c>
      <c r="C41" s="8" t="inlineStr">
        <is>
          <t>Screens</t>
        </is>
      </c>
      <c r="D41" s="9" t="n">
        <v>10000</v>
      </c>
      <c r="E41" s="7" t="n">
        <v>1</v>
      </c>
      <c r="F41" s="9">
        <f>D41*E41</f>
        <v/>
      </c>
      <c r="G41" s="7" t="inlineStr">
        <is>
          <t>Yes</t>
        </is>
      </c>
      <c r="H41" s="8" t="n"/>
    </row>
    <row r="42">
      <c r="A42" s="10" t="n">
        <v>32</v>
      </c>
      <c r="B42" s="11" t="inlineStr">
        <is>
          <t>Detail Screen</t>
        </is>
      </c>
      <c r="C42" s="11" t="inlineStr">
        <is>
          <t>Screens</t>
        </is>
      </c>
      <c r="D42" s="12" t="n">
        <v>6000</v>
      </c>
      <c r="E42" s="10" t="n">
        <v>1</v>
      </c>
      <c r="F42" s="12">
        <f>D42*E42</f>
        <v/>
      </c>
      <c r="G42" s="10" t="inlineStr">
        <is>
          <t>Yes</t>
        </is>
      </c>
      <c r="H42" s="11" t="n"/>
    </row>
    <row r="43">
      <c r="A43" s="7" t="n">
        <v>33</v>
      </c>
      <c r="B43" s="8" t="inlineStr">
        <is>
          <t>List / Feed Screen (with pagination)</t>
        </is>
      </c>
      <c r="C43" s="8" t="inlineStr">
        <is>
          <t>Screens</t>
        </is>
      </c>
      <c r="D43" s="9" t="n">
        <v>8000</v>
      </c>
      <c r="E43" s="7" t="n">
        <v>1</v>
      </c>
      <c r="F43" s="9">
        <f>D43*E43</f>
        <v/>
      </c>
      <c r="G43" s="7" t="inlineStr">
        <is>
          <t>Yes</t>
        </is>
      </c>
      <c r="H43" s="8" t="n"/>
    </row>
    <row r="44">
      <c r="A44" s="10" t="n">
        <v>34</v>
      </c>
      <c r="B44" s="11" t="inlineStr">
        <is>
          <t>Form / Input Screen</t>
        </is>
      </c>
      <c r="C44" s="11" t="inlineStr">
        <is>
          <t>Screens</t>
        </is>
      </c>
      <c r="D44" s="12" t="n">
        <v>5000</v>
      </c>
      <c r="E44" s="10" t="n">
        <v>1</v>
      </c>
      <c r="F44" s="12">
        <f>D44*E44</f>
        <v/>
      </c>
      <c r="G44" s="10" t="inlineStr">
        <is>
          <t>Yes</t>
        </is>
      </c>
      <c r="H44" s="11" t="n"/>
    </row>
    <row r="45">
      <c r="A45" s="7" t="n">
        <v>35</v>
      </c>
      <c r="B45" s="8" t="inlineStr">
        <is>
          <t>Notification Center</t>
        </is>
      </c>
      <c r="C45" s="8" t="inlineStr">
        <is>
          <t>Screens</t>
        </is>
      </c>
      <c r="D45" s="9" t="n">
        <v>6000</v>
      </c>
      <c r="E45" s="7" t="n">
        <v>1</v>
      </c>
      <c r="F45" s="9">
        <f>D45*E45</f>
        <v/>
      </c>
      <c r="G45" s="7" t="inlineStr">
        <is>
          <t>Yes</t>
        </is>
      </c>
      <c r="H45" s="8" t="n"/>
    </row>
    <row r="46">
      <c r="A46" s="10" t="n">
        <v>36</v>
      </c>
      <c r="B46" s="11" t="inlineStr">
        <is>
          <t>Help / FAQ / Support Screen</t>
        </is>
      </c>
      <c r="C46" s="11" t="inlineStr">
        <is>
          <t>Screens</t>
        </is>
      </c>
      <c r="D46" s="12" t="n">
        <v>4000</v>
      </c>
      <c r="E46" s="10" t="n">
        <v>1</v>
      </c>
      <c r="F46" s="12">
        <f>D46*E46</f>
        <v/>
      </c>
      <c r="G46" s="10" t="inlineStr">
        <is>
          <t>Yes</t>
        </is>
      </c>
      <c r="H46" s="11" t="n"/>
    </row>
    <row r="47">
      <c r="A47" s="7" t="n">
        <v>37</v>
      </c>
      <c r="B47" s="8" t="inlineStr">
        <is>
          <t>About / Legal Screens</t>
        </is>
      </c>
      <c r="C47" s="8" t="inlineStr">
        <is>
          <t>Screens</t>
        </is>
      </c>
      <c r="D47" s="9" t="n">
        <v>2000</v>
      </c>
      <c r="E47" s="7" t="n">
        <v>1</v>
      </c>
      <c r="F47" s="9">
        <f>D47*E47</f>
        <v/>
      </c>
      <c r="G47" s="7" t="inlineStr">
        <is>
          <t>Yes</t>
        </is>
      </c>
      <c r="H47" s="8" t="n"/>
    </row>
    <row r="48">
      <c r="A48" s="5" t="inlineStr">
        <is>
          <t>FEATURES &amp; FUNCTIONALITY</t>
        </is>
      </c>
      <c r="B48" s="6" t="n"/>
      <c r="C48" s="6" t="n"/>
      <c r="D48" s="6" t="n"/>
      <c r="E48" s="6" t="n"/>
      <c r="F48" s="6" t="n"/>
      <c r="G48" s="6" t="n"/>
      <c r="H48" s="6" t="n"/>
    </row>
    <row r="49">
      <c r="A49" s="10" t="n">
        <v>38</v>
      </c>
      <c r="B49" s="11" t="inlineStr">
        <is>
          <t>Push Notifications (FCM/APNs)</t>
        </is>
      </c>
      <c r="C49" s="11" t="inlineStr">
        <is>
          <t>Feature</t>
        </is>
      </c>
      <c r="D49" s="12" t="n">
        <v>8000</v>
      </c>
      <c r="E49" s="10" t="n">
        <v>1</v>
      </c>
      <c r="F49" s="12">
        <f>D49*E49</f>
        <v/>
      </c>
      <c r="G49" s="10" t="inlineStr">
        <is>
          <t>Yes</t>
        </is>
      </c>
      <c r="H49" s="11" t="n"/>
    </row>
    <row r="50">
      <c r="A50" s="7" t="n">
        <v>39</v>
      </c>
      <c r="B50" s="8" t="inlineStr">
        <is>
          <t>In-App Messaging / Chat</t>
        </is>
      </c>
      <c r="C50" s="8" t="inlineStr">
        <is>
          <t>Feature</t>
        </is>
      </c>
      <c r="D50" s="9" t="n">
        <v>25000</v>
      </c>
      <c r="E50" s="7" t="n">
        <v>1</v>
      </c>
      <c r="F50" s="9">
        <f>D50*E50</f>
        <v/>
      </c>
      <c r="G50" s="7" t="inlineStr">
        <is>
          <t>Yes</t>
        </is>
      </c>
      <c r="H50" s="8" t="n"/>
    </row>
    <row r="51">
      <c r="A51" s="10" t="n">
        <v>40</v>
      </c>
      <c r="B51" s="11" t="inlineStr">
        <is>
          <t>Real-time Chat (WebSocket)</t>
        </is>
      </c>
      <c r="C51" s="11" t="inlineStr">
        <is>
          <t>Feature</t>
        </is>
      </c>
      <c r="D51" s="12" t="n">
        <v>35000</v>
      </c>
      <c r="E51" s="10" t="n">
        <v>1</v>
      </c>
      <c r="F51" s="12">
        <f>D51*E51</f>
        <v/>
      </c>
      <c r="G51" s="10" t="inlineStr">
        <is>
          <t>Yes</t>
        </is>
      </c>
      <c r="H51" s="11" t="n"/>
    </row>
    <row r="52">
      <c r="A52" s="7" t="n">
        <v>41</v>
      </c>
      <c r="B52" s="8" t="inlineStr">
        <is>
          <t>Voice / Video Calling</t>
        </is>
      </c>
      <c r="C52" s="8" t="inlineStr">
        <is>
          <t>Feature</t>
        </is>
      </c>
      <c r="D52" s="9" t="n">
        <v>50000</v>
      </c>
      <c r="E52" s="7" t="n">
        <v>1</v>
      </c>
      <c r="F52" s="9">
        <f>D52*E52</f>
        <v/>
      </c>
      <c r="G52" s="7" t="inlineStr">
        <is>
          <t>Yes</t>
        </is>
      </c>
      <c r="H52" s="8" t="n"/>
    </row>
    <row r="53">
      <c r="A53" s="10" t="n">
        <v>42</v>
      </c>
      <c r="B53" s="11" t="inlineStr">
        <is>
          <t>GPS / Location Services</t>
        </is>
      </c>
      <c r="C53" s="11" t="inlineStr">
        <is>
          <t>Feature</t>
        </is>
      </c>
      <c r="D53" s="12" t="n">
        <v>8000</v>
      </c>
      <c r="E53" s="10" t="n">
        <v>1</v>
      </c>
      <c r="F53" s="12">
        <f>D53*E53</f>
        <v/>
      </c>
      <c r="G53" s="10" t="inlineStr">
        <is>
          <t>Yes</t>
        </is>
      </c>
      <c r="H53" s="11" t="n"/>
    </row>
    <row r="54">
      <c r="A54" s="7" t="n">
        <v>43</v>
      </c>
      <c r="B54" s="8" t="inlineStr">
        <is>
          <t>Google Maps Integration</t>
        </is>
      </c>
      <c r="C54" s="8" t="inlineStr">
        <is>
          <t>Feature</t>
        </is>
      </c>
      <c r="D54" s="9" t="n">
        <v>8000</v>
      </c>
      <c r="E54" s="7" t="n">
        <v>1</v>
      </c>
      <c r="F54" s="9">
        <f>D54*E54</f>
        <v/>
      </c>
      <c r="G54" s="7" t="inlineStr">
        <is>
          <t>Yes</t>
        </is>
      </c>
      <c r="H54" s="8" t="n"/>
    </row>
    <row r="55">
      <c r="A55" s="10" t="n">
        <v>44</v>
      </c>
      <c r="B55" s="11" t="inlineStr">
        <is>
          <t>Route / Navigation</t>
        </is>
      </c>
      <c r="C55" s="11" t="inlineStr">
        <is>
          <t>Feature</t>
        </is>
      </c>
      <c r="D55" s="12" t="n">
        <v>12000</v>
      </c>
      <c r="E55" s="10" t="n">
        <v>1</v>
      </c>
      <c r="F55" s="12">
        <f>D55*E55</f>
        <v/>
      </c>
      <c r="G55" s="10" t="inlineStr">
        <is>
          <t>Yes</t>
        </is>
      </c>
      <c r="H55" s="11" t="n"/>
    </row>
    <row r="56">
      <c r="A56" s="7" t="n">
        <v>45</v>
      </c>
      <c r="B56" s="8" t="inlineStr">
        <is>
          <t>Geofencing</t>
        </is>
      </c>
      <c r="C56" s="8" t="inlineStr">
        <is>
          <t>Feature</t>
        </is>
      </c>
      <c r="D56" s="9" t="n">
        <v>10000</v>
      </c>
      <c r="E56" s="7" t="n">
        <v>1</v>
      </c>
      <c r="F56" s="9">
        <f>D56*E56</f>
        <v/>
      </c>
      <c r="G56" s="7" t="inlineStr">
        <is>
          <t>Yes</t>
        </is>
      </c>
      <c r="H56" s="8" t="n"/>
    </row>
    <row r="57">
      <c r="A57" s="10" t="n">
        <v>46</v>
      </c>
      <c r="B57" s="11" t="inlineStr">
        <is>
          <t>Camera Integration</t>
        </is>
      </c>
      <c r="C57" s="11" t="inlineStr">
        <is>
          <t>Feature</t>
        </is>
      </c>
      <c r="D57" s="12" t="n">
        <v>5000</v>
      </c>
      <c r="E57" s="10" t="n">
        <v>1</v>
      </c>
      <c r="F57" s="12">
        <f>D57*E57</f>
        <v/>
      </c>
      <c r="G57" s="10" t="inlineStr">
        <is>
          <t>Yes</t>
        </is>
      </c>
      <c r="H57" s="11" t="n"/>
    </row>
    <row r="58">
      <c r="A58" s="7" t="n">
        <v>47</v>
      </c>
      <c r="B58" s="8" t="inlineStr">
        <is>
          <t>Gallery / Image Picker</t>
        </is>
      </c>
      <c r="C58" s="8" t="inlineStr">
        <is>
          <t>Feature</t>
        </is>
      </c>
      <c r="D58" s="9" t="n">
        <v>3000</v>
      </c>
      <c r="E58" s="7" t="n">
        <v>1</v>
      </c>
      <c r="F58" s="9">
        <f>D58*E58</f>
        <v/>
      </c>
      <c r="G58" s="7" t="inlineStr">
        <is>
          <t>Yes</t>
        </is>
      </c>
      <c r="H58" s="8" t="n"/>
    </row>
    <row r="59">
      <c r="A59" s="10" t="n">
        <v>48</v>
      </c>
      <c r="B59" s="11" t="inlineStr">
        <is>
          <t>Image Cropping / Editing</t>
        </is>
      </c>
      <c r="C59" s="11" t="inlineStr">
        <is>
          <t>Feature</t>
        </is>
      </c>
      <c r="D59" s="12" t="n">
        <v>5000</v>
      </c>
      <c r="E59" s="10" t="n">
        <v>1</v>
      </c>
      <c r="F59" s="12">
        <f>D59*E59</f>
        <v/>
      </c>
      <c r="G59" s="10" t="inlineStr">
        <is>
          <t>Yes</t>
        </is>
      </c>
      <c r="H59" s="11" t="n"/>
    </row>
    <row r="60">
      <c r="A60" s="7" t="n">
        <v>49</v>
      </c>
      <c r="B60" s="8" t="inlineStr">
        <is>
          <t>Video Recording / Player</t>
        </is>
      </c>
      <c r="C60" s="8" t="inlineStr">
        <is>
          <t>Feature</t>
        </is>
      </c>
      <c r="D60" s="9" t="n">
        <v>8000</v>
      </c>
      <c r="E60" s="7" t="n">
        <v>1</v>
      </c>
      <c r="F60" s="9">
        <f>D60*E60</f>
        <v/>
      </c>
      <c r="G60" s="7" t="inlineStr">
        <is>
          <t>Yes</t>
        </is>
      </c>
      <c r="H60" s="8" t="n"/>
    </row>
    <row r="61">
      <c r="A61" s="10" t="n">
        <v>50</v>
      </c>
      <c r="B61" s="11" t="inlineStr">
        <is>
          <t>QR / Barcode Scanner</t>
        </is>
      </c>
      <c r="C61" s="11" t="inlineStr">
        <is>
          <t>Feature</t>
        </is>
      </c>
      <c r="D61" s="12" t="n">
        <v>5000</v>
      </c>
      <c r="E61" s="10" t="n">
        <v>1</v>
      </c>
      <c r="F61" s="12">
        <f>D61*E61</f>
        <v/>
      </c>
      <c r="G61" s="10" t="inlineStr">
        <is>
          <t>Yes</t>
        </is>
      </c>
      <c r="H61" s="11" t="n"/>
    </row>
    <row r="62">
      <c r="A62" s="7" t="n">
        <v>51</v>
      </c>
      <c r="B62" s="8" t="inlineStr">
        <is>
          <t>Document Scanner (OCR)</t>
        </is>
      </c>
      <c r="C62" s="8" t="inlineStr">
        <is>
          <t>Feature</t>
        </is>
      </c>
      <c r="D62" s="9" t="n">
        <v>12000</v>
      </c>
      <c r="E62" s="7" t="n">
        <v>1</v>
      </c>
      <c r="F62" s="9">
        <f>D62*E62</f>
        <v/>
      </c>
      <c r="G62" s="7" t="inlineStr">
        <is>
          <t>Yes</t>
        </is>
      </c>
      <c r="H62" s="8" t="n"/>
    </row>
    <row r="63">
      <c r="A63" s="10" t="n">
        <v>52</v>
      </c>
      <c r="B63" s="11" t="inlineStr">
        <is>
          <t>File Upload / Download</t>
        </is>
      </c>
      <c r="C63" s="11" t="inlineStr">
        <is>
          <t>Feature</t>
        </is>
      </c>
      <c r="D63" s="12" t="n">
        <v>5000</v>
      </c>
      <c r="E63" s="10" t="n">
        <v>1</v>
      </c>
      <c r="F63" s="12">
        <f>D63*E63</f>
        <v/>
      </c>
      <c r="G63" s="10" t="inlineStr">
        <is>
          <t>Yes</t>
        </is>
      </c>
      <c r="H63" s="11" t="n"/>
    </row>
    <row r="64">
      <c r="A64" s="7" t="n">
        <v>53</v>
      </c>
      <c r="B64" s="8" t="inlineStr">
        <is>
          <t>Offline Mode &amp; Data Sync</t>
        </is>
      </c>
      <c r="C64" s="8" t="inlineStr">
        <is>
          <t>Feature</t>
        </is>
      </c>
      <c r="D64" s="9" t="n">
        <v>15000</v>
      </c>
      <c r="E64" s="7" t="n">
        <v>1</v>
      </c>
      <c r="F64" s="9">
        <f>D64*E64</f>
        <v/>
      </c>
      <c r="G64" s="7" t="inlineStr">
        <is>
          <t>Yes</t>
        </is>
      </c>
      <c r="H64" s="8" t="n"/>
    </row>
    <row r="65">
      <c r="A65" s="10" t="n">
        <v>54</v>
      </c>
      <c r="B65" s="11" t="inlineStr">
        <is>
          <t>Background Services / Tasks</t>
        </is>
      </c>
      <c r="C65" s="11" t="inlineStr">
        <is>
          <t>Feature</t>
        </is>
      </c>
      <c r="D65" s="12" t="n">
        <v>8000</v>
      </c>
      <c r="E65" s="10" t="n">
        <v>1</v>
      </c>
      <c r="F65" s="12">
        <f>D65*E65</f>
        <v/>
      </c>
      <c r="G65" s="10" t="inlineStr">
        <is>
          <t>Yes</t>
        </is>
      </c>
      <c r="H65" s="11" t="n"/>
    </row>
    <row r="66">
      <c r="A66" s="7" t="n">
        <v>55</v>
      </c>
      <c r="B66" s="8" t="inlineStr">
        <is>
          <t>Local Notifications / Reminders</t>
        </is>
      </c>
      <c r="C66" s="8" t="inlineStr">
        <is>
          <t>Feature</t>
        </is>
      </c>
      <c r="D66" s="9" t="n">
        <v>5000</v>
      </c>
      <c r="E66" s="7" t="n">
        <v>1</v>
      </c>
      <c r="F66" s="9">
        <f>D66*E66</f>
        <v/>
      </c>
      <c r="G66" s="7" t="inlineStr">
        <is>
          <t>Yes</t>
        </is>
      </c>
      <c r="H66" s="8" t="n"/>
    </row>
    <row r="67">
      <c r="A67" s="10" t="n">
        <v>56</v>
      </c>
      <c r="B67" s="11" t="inlineStr">
        <is>
          <t>Social Sharing</t>
        </is>
      </c>
      <c r="C67" s="11" t="inlineStr">
        <is>
          <t>Feature</t>
        </is>
      </c>
      <c r="D67" s="12" t="n">
        <v>3000</v>
      </c>
      <c r="E67" s="10" t="n">
        <v>1</v>
      </c>
      <c r="F67" s="12">
        <f>D67*E67</f>
        <v/>
      </c>
      <c r="G67" s="10" t="inlineStr">
        <is>
          <t>Yes</t>
        </is>
      </c>
      <c r="H67" s="11" t="n"/>
    </row>
    <row r="68">
      <c r="A68" s="7" t="n">
        <v>57</v>
      </c>
      <c r="B68" s="8" t="inlineStr">
        <is>
          <t>Deep Linking / Universal Links</t>
        </is>
      </c>
      <c r="C68" s="8" t="inlineStr">
        <is>
          <t>Feature</t>
        </is>
      </c>
      <c r="D68" s="9" t="n">
        <v>5000</v>
      </c>
      <c r="E68" s="7" t="n">
        <v>1</v>
      </c>
      <c r="F68" s="9">
        <f>D68*E68</f>
        <v/>
      </c>
      <c r="G68" s="7" t="inlineStr">
        <is>
          <t>Yes</t>
        </is>
      </c>
      <c r="H68" s="8" t="n"/>
    </row>
    <row r="69">
      <c r="A69" s="10" t="n">
        <v>58</v>
      </c>
      <c r="B69" s="11" t="inlineStr">
        <is>
          <t>Multi-language (i18n)</t>
        </is>
      </c>
      <c r="C69" s="11" t="inlineStr">
        <is>
          <t>Feature</t>
        </is>
      </c>
      <c r="D69" s="12" t="n">
        <v>10000</v>
      </c>
      <c r="E69" s="10" t="n">
        <v>1</v>
      </c>
      <c r="F69" s="12">
        <f>D69*E69</f>
        <v/>
      </c>
      <c r="G69" s="10" t="inlineStr">
        <is>
          <t>Yes</t>
        </is>
      </c>
      <c r="H69" s="11" t="n"/>
    </row>
    <row r="70">
      <c r="A70" s="7" t="n">
        <v>59</v>
      </c>
      <c r="B70" s="8" t="inlineStr">
        <is>
          <t>Dark Mode Toggle</t>
        </is>
      </c>
      <c r="C70" s="8" t="inlineStr">
        <is>
          <t>Feature</t>
        </is>
      </c>
      <c r="D70" s="9" t="n">
        <v>3000</v>
      </c>
      <c r="E70" s="7" t="n">
        <v>1</v>
      </c>
      <c r="F70" s="9">
        <f>D70*E70</f>
        <v/>
      </c>
      <c r="G70" s="7" t="inlineStr">
        <is>
          <t>Yes</t>
        </is>
      </c>
      <c r="H70" s="8" t="n"/>
    </row>
    <row r="71">
      <c r="A71" s="10" t="n">
        <v>60</v>
      </c>
      <c r="B71" s="11" t="inlineStr">
        <is>
          <t>Accessibility Support</t>
        </is>
      </c>
      <c r="C71" s="11" t="inlineStr">
        <is>
          <t>Feature</t>
        </is>
      </c>
      <c r="D71" s="12" t="n">
        <v>8000</v>
      </c>
      <c r="E71" s="10" t="n">
        <v>1</v>
      </c>
      <c r="F71" s="12">
        <f>D71*E71</f>
        <v/>
      </c>
      <c r="G71" s="10" t="inlineStr">
        <is>
          <t>Yes</t>
        </is>
      </c>
      <c r="H71" s="11" t="n"/>
    </row>
    <row r="72">
      <c r="A72" s="5" t="inlineStr">
        <is>
          <t>ADVANCED FEATURES</t>
        </is>
      </c>
      <c r="B72" s="6" t="n"/>
      <c r="C72" s="6" t="n"/>
      <c r="D72" s="6" t="n"/>
      <c r="E72" s="6" t="n"/>
      <c r="F72" s="6" t="n"/>
      <c r="G72" s="6" t="n"/>
      <c r="H72" s="6" t="n"/>
    </row>
    <row r="73">
      <c r="A73" s="7" t="n">
        <v>61</v>
      </c>
      <c r="B73" s="8" t="inlineStr">
        <is>
          <t>AR / Augmented Reality</t>
        </is>
      </c>
      <c r="C73" s="8" t="inlineStr">
        <is>
          <t>Advanced</t>
        </is>
      </c>
      <c r="D73" s="9" t="n">
        <v>60000</v>
      </c>
      <c r="E73" s="7" t="n">
        <v>1</v>
      </c>
      <c r="F73" s="9">
        <f>D73*E73</f>
        <v/>
      </c>
      <c r="G73" s="7" t="inlineStr">
        <is>
          <t>Yes</t>
        </is>
      </c>
      <c r="H73" s="8" t="n"/>
    </row>
    <row r="74">
      <c r="A74" s="10" t="n">
        <v>62</v>
      </c>
      <c r="B74" s="11" t="inlineStr">
        <is>
          <t>ML / AI Feature</t>
        </is>
      </c>
      <c r="C74" s="11" t="inlineStr">
        <is>
          <t>Advanced</t>
        </is>
      </c>
      <c r="D74" s="12" t="n">
        <v>50000</v>
      </c>
      <c r="E74" s="10" t="n">
        <v>1</v>
      </c>
      <c r="F74" s="12">
        <f>D74*E74</f>
        <v/>
      </c>
      <c r="G74" s="10" t="inlineStr">
        <is>
          <t>Yes</t>
        </is>
      </c>
      <c r="H74" s="11" t="n"/>
    </row>
    <row r="75">
      <c r="A75" s="7" t="n">
        <v>63</v>
      </c>
      <c r="B75" s="8" t="inlineStr">
        <is>
          <t>Face Detection / Recognition</t>
        </is>
      </c>
      <c r="C75" s="8" t="inlineStr">
        <is>
          <t>Advanced</t>
        </is>
      </c>
      <c r="D75" s="9" t="n">
        <v>30000</v>
      </c>
      <c r="E75" s="7" t="n">
        <v>1</v>
      </c>
      <c r="F75" s="9">
        <f>D75*E75</f>
        <v/>
      </c>
      <c r="G75" s="7" t="inlineStr">
        <is>
          <t>Yes</t>
        </is>
      </c>
      <c r="H75" s="8" t="n"/>
    </row>
    <row r="76">
      <c r="A76" s="10" t="n">
        <v>64</v>
      </c>
      <c r="B76" s="11" t="inlineStr">
        <is>
          <t>Object Detection</t>
        </is>
      </c>
      <c r="C76" s="11" t="inlineStr">
        <is>
          <t>Advanced</t>
        </is>
      </c>
      <c r="D76" s="12" t="n">
        <v>40000</v>
      </c>
      <c r="E76" s="10" t="n">
        <v>1</v>
      </c>
      <c r="F76" s="12">
        <f>D76*E76</f>
        <v/>
      </c>
      <c r="G76" s="10" t="inlineStr">
        <is>
          <t>Yes</t>
        </is>
      </c>
      <c r="H76" s="11" t="n"/>
    </row>
    <row r="77">
      <c r="A77" s="7" t="n">
        <v>65</v>
      </c>
      <c r="B77" s="8" t="inlineStr">
        <is>
          <t>Bluetooth / BLE Integration</t>
        </is>
      </c>
      <c r="C77" s="8" t="inlineStr">
        <is>
          <t>Advanced</t>
        </is>
      </c>
      <c r="D77" s="9" t="n">
        <v>20000</v>
      </c>
      <c r="E77" s="7" t="n">
        <v>1</v>
      </c>
      <c r="F77" s="9">
        <f>D77*E77</f>
        <v/>
      </c>
      <c r="G77" s="7" t="inlineStr">
        <is>
          <t>Yes</t>
        </is>
      </c>
      <c r="H77" s="8" t="n"/>
    </row>
    <row r="78">
      <c r="A78" s="10" t="n">
        <v>66</v>
      </c>
      <c r="B78" s="11" t="inlineStr">
        <is>
          <t>NFC Integration</t>
        </is>
      </c>
      <c r="C78" s="11" t="inlineStr">
        <is>
          <t>Advanced</t>
        </is>
      </c>
      <c r="D78" s="12" t="n">
        <v>15000</v>
      </c>
      <c r="E78" s="10" t="n">
        <v>1</v>
      </c>
      <c r="F78" s="12">
        <f>D78*E78</f>
        <v/>
      </c>
      <c r="G78" s="10" t="inlineStr">
        <is>
          <t>Yes</t>
        </is>
      </c>
      <c r="H78" s="11" t="n"/>
    </row>
    <row r="79">
      <c r="A79" s="7" t="n">
        <v>67</v>
      </c>
      <c r="B79" s="8" t="inlineStr">
        <is>
          <t>IoT Device Integration</t>
        </is>
      </c>
      <c r="C79" s="8" t="inlineStr">
        <is>
          <t>Advanced</t>
        </is>
      </c>
      <c r="D79" s="9" t="n">
        <v>30000</v>
      </c>
      <c r="E79" s="7" t="n">
        <v>1</v>
      </c>
      <c r="F79" s="9">
        <f>D79*E79</f>
        <v/>
      </c>
      <c r="G79" s="7" t="inlineStr">
        <is>
          <t>Yes</t>
        </is>
      </c>
      <c r="H79" s="8" t="n"/>
    </row>
    <row r="80">
      <c r="A80" s="10" t="n">
        <v>68</v>
      </c>
      <c r="B80" s="11" t="inlineStr">
        <is>
          <t>Wearable (Watch) Companion App</t>
        </is>
      </c>
      <c r="C80" s="11" t="inlineStr">
        <is>
          <t>Advanced</t>
        </is>
      </c>
      <c r="D80" s="12" t="n">
        <v>40000</v>
      </c>
      <c r="E80" s="10" t="n">
        <v>1</v>
      </c>
      <c r="F80" s="12">
        <f>D80*E80</f>
        <v/>
      </c>
      <c r="G80" s="10" t="inlineStr">
        <is>
          <t>Yes</t>
        </is>
      </c>
      <c r="H80" s="11" t="n"/>
    </row>
    <row r="81">
      <c r="A81" s="7" t="n">
        <v>69</v>
      </c>
      <c r="B81" s="8" t="inlineStr">
        <is>
          <t>Health Kit / Google Fit Integration</t>
        </is>
      </c>
      <c r="C81" s="8" t="inlineStr">
        <is>
          <t>Advanced</t>
        </is>
      </c>
      <c r="D81" s="9" t="n">
        <v>15000</v>
      </c>
      <c r="E81" s="7" t="n">
        <v>1</v>
      </c>
      <c r="F81" s="9">
        <f>D81*E81</f>
        <v/>
      </c>
      <c r="G81" s="7" t="inlineStr">
        <is>
          <t>Yes</t>
        </is>
      </c>
      <c r="H81" s="8" t="n"/>
    </row>
    <row r="82">
      <c r="A82" s="5" t="inlineStr">
        <is>
          <t>BACKEND &amp; API</t>
        </is>
      </c>
      <c r="B82" s="6" t="n"/>
      <c r="C82" s="6" t="n"/>
      <c r="D82" s="6" t="n"/>
      <c r="E82" s="6" t="n"/>
      <c r="F82" s="6" t="n"/>
      <c r="G82" s="6" t="n"/>
      <c r="H82" s="6" t="n"/>
    </row>
    <row r="83">
      <c r="A83" s="10" t="n">
        <v>70</v>
      </c>
      <c r="B83" s="11" t="inlineStr">
        <is>
          <t>Custom Backend Setup (Node/Python/Go)</t>
        </is>
      </c>
      <c r="C83" s="11" t="inlineStr">
        <is>
          <t>Backend</t>
        </is>
      </c>
      <c r="D83" s="12" t="n">
        <v>15000</v>
      </c>
      <c r="E83" s="10" t="n">
        <v>1</v>
      </c>
      <c r="F83" s="12">
        <f>D83*E83</f>
        <v/>
      </c>
      <c r="G83" s="10" t="inlineStr">
        <is>
          <t>Yes</t>
        </is>
      </c>
      <c r="H83" s="11" t="n"/>
    </row>
    <row r="84">
      <c r="A84" s="7" t="n">
        <v>71</v>
      </c>
      <c r="B84" s="8" t="inlineStr">
        <is>
          <t>Firebase Setup &amp; Configuration</t>
        </is>
      </c>
      <c r="C84" s="8" t="inlineStr">
        <is>
          <t>Backend</t>
        </is>
      </c>
      <c r="D84" s="9" t="n">
        <v>8000</v>
      </c>
      <c r="E84" s="7" t="n">
        <v>1</v>
      </c>
      <c r="F84" s="9">
        <f>D84*E84</f>
        <v/>
      </c>
      <c r="G84" s="7" t="inlineStr">
        <is>
          <t>Yes</t>
        </is>
      </c>
      <c r="H84" s="8" t="n"/>
    </row>
    <row r="85">
      <c r="A85" s="10" t="n">
        <v>72</v>
      </c>
      <c r="B85" s="11" t="inlineStr">
        <is>
          <t>Supabase Setup &amp; Configuration</t>
        </is>
      </c>
      <c r="C85" s="11" t="inlineStr">
        <is>
          <t>Backend</t>
        </is>
      </c>
      <c r="D85" s="12" t="n">
        <v>8000</v>
      </c>
      <c r="E85" s="10" t="n">
        <v>1</v>
      </c>
      <c r="F85" s="12">
        <f>D85*E85</f>
        <v/>
      </c>
      <c r="G85" s="10" t="inlineStr">
        <is>
          <t>Yes</t>
        </is>
      </c>
      <c r="H85" s="11" t="n"/>
    </row>
    <row r="86">
      <c r="A86" s="7" t="n">
        <v>73</v>
      </c>
      <c r="B86" s="8" t="inlineStr">
        <is>
          <t>REST API Development (per module)</t>
        </is>
      </c>
      <c r="C86" s="8" t="inlineStr">
        <is>
          <t>Backend</t>
        </is>
      </c>
      <c r="D86" s="9" t="n">
        <v>10000</v>
      </c>
      <c r="E86" s="7" t="n">
        <v>1</v>
      </c>
      <c r="F86" s="9">
        <f>D86*E86</f>
        <v/>
      </c>
      <c r="G86" s="7" t="inlineStr">
        <is>
          <t>Yes</t>
        </is>
      </c>
      <c r="H86" s="8" t="n"/>
    </row>
    <row r="87">
      <c r="A87" s="10" t="n">
        <v>74</v>
      </c>
      <c r="B87" s="11" t="inlineStr">
        <is>
          <t>GraphQL API Development</t>
        </is>
      </c>
      <c r="C87" s="11" t="inlineStr">
        <is>
          <t>Backend</t>
        </is>
      </c>
      <c r="D87" s="12" t="n">
        <v>15000</v>
      </c>
      <c r="E87" s="10" t="n">
        <v>1</v>
      </c>
      <c r="F87" s="12">
        <f>D87*E87</f>
        <v/>
      </c>
      <c r="G87" s="10" t="inlineStr">
        <is>
          <t>Yes</t>
        </is>
      </c>
      <c r="H87" s="11" t="n"/>
    </row>
    <row r="88">
      <c r="A88" s="7" t="n">
        <v>75</v>
      </c>
      <c r="B88" s="8" t="inlineStr">
        <is>
          <t>Real-time Database Setup</t>
        </is>
      </c>
      <c r="C88" s="8" t="inlineStr">
        <is>
          <t>Backend</t>
        </is>
      </c>
      <c r="D88" s="9" t="n">
        <v>8000</v>
      </c>
      <c r="E88" s="7" t="n">
        <v>1</v>
      </c>
      <c r="F88" s="9">
        <f>D88*E88</f>
        <v/>
      </c>
      <c r="G88" s="7" t="inlineStr">
        <is>
          <t>Yes</t>
        </is>
      </c>
      <c r="H88" s="8" t="n"/>
    </row>
    <row r="89">
      <c r="A89" s="10" t="n">
        <v>76</v>
      </c>
      <c r="B89" s="11" t="inlineStr">
        <is>
          <t>Cloud Storage Setup (S3/GCS)</t>
        </is>
      </c>
      <c r="C89" s="11" t="inlineStr">
        <is>
          <t>Backend</t>
        </is>
      </c>
      <c r="D89" s="12" t="n">
        <v>5000</v>
      </c>
      <c r="E89" s="10" t="n">
        <v>1</v>
      </c>
      <c r="F89" s="12">
        <f>D89*E89</f>
        <v/>
      </c>
      <c r="G89" s="10" t="inlineStr">
        <is>
          <t>Yes</t>
        </is>
      </c>
      <c r="H89" s="11" t="n"/>
    </row>
    <row r="90">
      <c r="A90" s="7" t="n">
        <v>77</v>
      </c>
      <c r="B90" s="8" t="inlineStr">
        <is>
          <t>Cloud Functions / Serverless</t>
        </is>
      </c>
      <c r="C90" s="8" t="inlineStr">
        <is>
          <t>Backend</t>
        </is>
      </c>
      <c r="D90" s="9" t="n">
        <v>8000</v>
      </c>
      <c r="E90" s="7" t="n">
        <v>1</v>
      </c>
      <c r="F90" s="9">
        <f>D90*E90</f>
        <v/>
      </c>
      <c r="G90" s="7" t="inlineStr">
        <is>
          <t>Yes</t>
        </is>
      </c>
      <c r="H90" s="8" t="n"/>
    </row>
    <row r="91">
      <c r="A91" s="10" t="n">
        <v>78</v>
      </c>
      <c r="B91" s="11" t="inlineStr">
        <is>
          <t>Admin Panel / Dashboard</t>
        </is>
      </c>
      <c r="C91" s="11" t="inlineStr">
        <is>
          <t>Backend</t>
        </is>
      </c>
      <c r="D91" s="12" t="n">
        <v>30000</v>
      </c>
      <c r="E91" s="10" t="n">
        <v>1</v>
      </c>
      <c r="F91" s="12">
        <f>D91*E91</f>
        <v/>
      </c>
      <c r="G91" s="10" t="inlineStr">
        <is>
          <t>Yes</t>
        </is>
      </c>
      <c r="H91" s="11" t="n"/>
    </row>
    <row r="92">
      <c r="A92" s="7" t="n">
        <v>79</v>
      </c>
      <c r="B92" s="8" t="inlineStr">
        <is>
          <t>API Documentation (Swagger)</t>
        </is>
      </c>
      <c r="C92" s="8" t="inlineStr">
        <is>
          <t>Backend</t>
        </is>
      </c>
      <c r="D92" s="9" t="n">
        <v>5000</v>
      </c>
      <c r="E92" s="7" t="n">
        <v>1</v>
      </c>
      <c r="F92" s="9">
        <f>D92*E92</f>
        <v/>
      </c>
      <c r="G92" s="7" t="inlineStr">
        <is>
          <t>Yes</t>
        </is>
      </c>
      <c r="H92" s="8" t="n"/>
    </row>
    <row r="93">
      <c r="A93" s="5" t="inlineStr">
        <is>
          <t>E-COMMERCE (if applicable)</t>
        </is>
      </c>
      <c r="B93" s="6" t="n"/>
      <c r="C93" s="6" t="n"/>
      <c r="D93" s="6" t="n"/>
      <c r="E93" s="6" t="n"/>
      <c r="F93" s="6" t="n"/>
      <c r="G93" s="6" t="n"/>
      <c r="H93" s="6" t="n"/>
    </row>
    <row r="94">
      <c r="A94" s="10" t="n">
        <v>80</v>
      </c>
      <c r="B94" s="11" t="inlineStr">
        <is>
          <t>Product Listing Screen</t>
        </is>
      </c>
      <c r="C94" s="11" t="inlineStr">
        <is>
          <t>E-Commerce</t>
        </is>
      </c>
      <c r="D94" s="12" t="n">
        <v>10000</v>
      </c>
      <c r="E94" s="10" t="n">
        <v>1</v>
      </c>
      <c r="F94" s="12">
        <f>D94*E94</f>
        <v/>
      </c>
      <c r="G94" s="10" t="inlineStr">
        <is>
          <t>Yes</t>
        </is>
      </c>
      <c r="H94" s="11" t="n"/>
    </row>
    <row r="95">
      <c r="A95" s="7" t="n">
        <v>81</v>
      </c>
      <c r="B95" s="8" t="inlineStr">
        <is>
          <t>Product Detail Screen</t>
        </is>
      </c>
      <c r="C95" s="8" t="inlineStr">
        <is>
          <t>E-Commerce</t>
        </is>
      </c>
      <c r="D95" s="9" t="n">
        <v>8000</v>
      </c>
      <c r="E95" s="7" t="n">
        <v>1</v>
      </c>
      <c r="F95" s="9">
        <f>D95*E95</f>
        <v/>
      </c>
      <c r="G95" s="7" t="inlineStr">
        <is>
          <t>Yes</t>
        </is>
      </c>
      <c r="H95" s="8" t="n"/>
    </row>
    <row r="96">
      <c r="A96" s="10" t="n">
        <v>82</v>
      </c>
      <c r="B96" s="11" t="inlineStr">
        <is>
          <t>Shopping Cart</t>
        </is>
      </c>
      <c r="C96" s="11" t="inlineStr">
        <is>
          <t>E-Commerce</t>
        </is>
      </c>
      <c r="D96" s="12" t="n">
        <v>10000</v>
      </c>
      <c r="E96" s="10" t="n">
        <v>1</v>
      </c>
      <c r="F96" s="12">
        <f>D96*E96</f>
        <v/>
      </c>
      <c r="G96" s="10" t="inlineStr">
        <is>
          <t>Yes</t>
        </is>
      </c>
      <c r="H96" s="11" t="n"/>
    </row>
    <row r="97">
      <c r="A97" s="7" t="n">
        <v>83</v>
      </c>
      <c r="B97" s="8" t="inlineStr">
        <is>
          <t>Checkout Flow</t>
        </is>
      </c>
      <c r="C97" s="8" t="inlineStr">
        <is>
          <t>E-Commerce</t>
        </is>
      </c>
      <c r="D97" s="9" t="n">
        <v>12000</v>
      </c>
      <c r="E97" s="7" t="n">
        <v>1</v>
      </c>
      <c r="F97" s="9">
        <f>D97*E97</f>
        <v/>
      </c>
      <c r="G97" s="7" t="inlineStr">
        <is>
          <t>Yes</t>
        </is>
      </c>
      <c r="H97" s="8" t="n"/>
    </row>
    <row r="98">
      <c r="A98" s="10" t="n">
        <v>84</v>
      </c>
      <c r="B98" s="11" t="inlineStr">
        <is>
          <t>Order Tracking</t>
        </is>
      </c>
      <c r="C98" s="11" t="inlineStr">
        <is>
          <t>E-Commerce</t>
        </is>
      </c>
      <c r="D98" s="12" t="n">
        <v>10000</v>
      </c>
      <c r="E98" s="10" t="n">
        <v>1</v>
      </c>
      <c r="F98" s="12">
        <f>D98*E98</f>
        <v/>
      </c>
      <c r="G98" s="10" t="inlineStr">
        <is>
          <t>Yes</t>
        </is>
      </c>
      <c r="H98" s="11" t="n"/>
    </row>
    <row r="99">
      <c r="A99" s="7" t="n">
        <v>85</v>
      </c>
      <c r="B99" s="8" t="inlineStr">
        <is>
          <t>Order History</t>
        </is>
      </c>
      <c r="C99" s="8" t="inlineStr">
        <is>
          <t>E-Commerce</t>
        </is>
      </c>
      <c r="D99" s="9" t="n">
        <v>6000</v>
      </c>
      <c r="E99" s="7" t="n">
        <v>1</v>
      </c>
      <c r="F99" s="9">
        <f>D99*E99</f>
        <v/>
      </c>
      <c r="G99" s="7" t="inlineStr">
        <is>
          <t>Yes</t>
        </is>
      </c>
      <c r="H99" s="8" t="n"/>
    </row>
    <row r="100">
      <c r="A100" s="10" t="n">
        <v>86</v>
      </c>
      <c r="B100" s="11" t="inlineStr">
        <is>
          <t>Wishlist / Favorites</t>
        </is>
      </c>
      <c r="C100" s="11" t="inlineStr">
        <is>
          <t>E-Commerce</t>
        </is>
      </c>
      <c r="D100" s="12" t="n">
        <v>5000</v>
      </c>
      <c r="E100" s="10" t="n">
        <v>1</v>
      </c>
      <c r="F100" s="12">
        <f>D100*E100</f>
        <v/>
      </c>
      <c r="G100" s="10" t="inlineStr">
        <is>
          <t>Yes</t>
        </is>
      </c>
      <c r="H100" s="11" t="n"/>
    </row>
    <row r="101">
      <c r="A101" s="7" t="n">
        <v>87</v>
      </c>
      <c r="B101" s="8" t="inlineStr">
        <is>
          <t>Product Reviews &amp; Ratings</t>
        </is>
      </c>
      <c r="C101" s="8" t="inlineStr">
        <is>
          <t>E-Commerce</t>
        </is>
      </c>
      <c r="D101" s="9" t="n">
        <v>6000</v>
      </c>
      <c r="E101" s="7" t="n">
        <v>1</v>
      </c>
      <c r="F101" s="9">
        <f>D101*E101</f>
        <v/>
      </c>
      <c r="G101" s="7" t="inlineStr">
        <is>
          <t>Yes</t>
        </is>
      </c>
      <c r="H101" s="8" t="n"/>
    </row>
    <row r="102">
      <c r="A102" s="10" t="n">
        <v>88</v>
      </c>
      <c r="B102" s="11" t="inlineStr">
        <is>
          <t>Coupons / Discounts</t>
        </is>
      </c>
      <c r="C102" s="11" t="inlineStr">
        <is>
          <t>E-Commerce</t>
        </is>
      </c>
      <c r="D102" s="12" t="n">
        <v>5000</v>
      </c>
      <c r="E102" s="10" t="n">
        <v>1</v>
      </c>
      <c r="F102" s="12">
        <f>D102*E102</f>
        <v/>
      </c>
      <c r="G102" s="10" t="inlineStr">
        <is>
          <t>Yes</t>
        </is>
      </c>
      <c r="H102" s="11" t="n"/>
    </row>
    <row r="103">
      <c r="A103" s="7" t="n">
        <v>89</v>
      </c>
      <c r="B103" s="8" t="inlineStr">
        <is>
          <t>Inventory Management</t>
        </is>
      </c>
      <c r="C103" s="8" t="inlineStr">
        <is>
          <t>E-Commerce</t>
        </is>
      </c>
      <c r="D103" s="9" t="n">
        <v>12000</v>
      </c>
      <c r="E103" s="7" t="n">
        <v>1</v>
      </c>
      <c r="F103" s="9">
        <f>D103*E103</f>
        <v/>
      </c>
      <c r="G103" s="7" t="inlineStr">
        <is>
          <t>Yes</t>
        </is>
      </c>
      <c r="H103" s="8" t="n"/>
    </row>
    <row r="104">
      <c r="A104" s="5" t="inlineStr">
        <is>
          <t>PAYMENT INTEGRATION</t>
        </is>
      </c>
      <c r="B104" s="6" t="n"/>
      <c r="C104" s="6" t="n"/>
      <c r="D104" s="6" t="n"/>
      <c r="E104" s="6" t="n"/>
      <c r="F104" s="6" t="n"/>
      <c r="G104" s="6" t="n"/>
      <c r="H104" s="6" t="n"/>
    </row>
    <row r="105">
      <c r="A105" s="10" t="n">
        <v>90</v>
      </c>
      <c r="B105" s="11" t="inlineStr">
        <is>
          <t>Razorpay Integration</t>
        </is>
      </c>
      <c r="C105" s="11" t="inlineStr">
        <is>
          <t>Payment</t>
        </is>
      </c>
      <c r="D105" s="12" t="n">
        <v>8000</v>
      </c>
      <c r="E105" s="10" t="n">
        <v>1</v>
      </c>
      <c r="F105" s="12">
        <f>D105*E105</f>
        <v/>
      </c>
      <c r="G105" s="10" t="inlineStr">
        <is>
          <t>Yes</t>
        </is>
      </c>
      <c r="H105" s="11" t="n"/>
    </row>
    <row r="106">
      <c r="A106" s="7" t="n">
        <v>91</v>
      </c>
      <c r="B106" s="8" t="inlineStr">
        <is>
          <t>Stripe Integration</t>
        </is>
      </c>
      <c r="C106" s="8" t="inlineStr">
        <is>
          <t>Payment</t>
        </is>
      </c>
      <c r="D106" s="9" t="n">
        <v>8000</v>
      </c>
      <c r="E106" s="7" t="n">
        <v>1</v>
      </c>
      <c r="F106" s="9">
        <f>D106*E106</f>
        <v/>
      </c>
      <c r="G106" s="7" t="inlineStr">
        <is>
          <t>Yes</t>
        </is>
      </c>
      <c r="H106" s="8" t="n"/>
    </row>
    <row r="107">
      <c r="A107" s="10" t="n">
        <v>92</v>
      </c>
      <c r="B107" s="11" t="inlineStr">
        <is>
          <t>PayPal Integration</t>
        </is>
      </c>
      <c r="C107" s="11" t="inlineStr">
        <is>
          <t>Payment</t>
        </is>
      </c>
      <c r="D107" s="12" t="n">
        <v>6000</v>
      </c>
      <c r="E107" s="10" t="n">
        <v>1</v>
      </c>
      <c r="F107" s="12">
        <f>D107*E107</f>
        <v/>
      </c>
      <c r="G107" s="10" t="inlineStr">
        <is>
          <t>Yes</t>
        </is>
      </c>
      <c r="H107" s="11" t="n"/>
    </row>
    <row r="108">
      <c r="A108" s="7" t="n">
        <v>93</v>
      </c>
      <c r="B108" s="8" t="inlineStr">
        <is>
          <t>Google Pay / Apple Pay</t>
        </is>
      </c>
      <c r="C108" s="8" t="inlineStr">
        <is>
          <t>Payment</t>
        </is>
      </c>
      <c r="D108" s="9" t="n">
        <v>8000</v>
      </c>
      <c r="E108" s="7" t="n">
        <v>1</v>
      </c>
      <c r="F108" s="9">
        <f>D108*E108</f>
        <v/>
      </c>
      <c r="G108" s="7" t="inlineStr">
        <is>
          <t>Yes</t>
        </is>
      </c>
      <c r="H108" s="8" t="n"/>
    </row>
    <row r="109">
      <c r="A109" s="10" t="n">
        <v>94</v>
      </c>
      <c r="B109" s="11" t="inlineStr">
        <is>
          <t>In-App Purchases (IAP)</t>
        </is>
      </c>
      <c r="C109" s="11" t="inlineStr">
        <is>
          <t>Payment</t>
        </is>
      </c>
      <c r="D109" s="12" t="n">
        <v>12000</v>
      </c>
      <c r="E109" s="10" t="n">
        <v>1</v>
      </c>
      <c r="F109" s="12">
        <f>D109*E109</f>
        <v/>
      </c>
      <c r="G109" s="10" t="inlineStr">
        <is>
          <t>Yes</t>
        </is>
      </c>
      <c r="H109" s="11" t="n"/>
    </row>
    <row r="110">
      <c r="A110" s="7" t="n">
        <v>95</v>
      </c>
      <c r="B110" s="8" t="inlineStr">
        <is>
          <t>Subscription System</t>
        </is>
      </c>
      <c r="C110" s="8" t="inlineStr">
        <is>
          <t>Payment</t>
        </is>
      </c>
      <c r="D110" s="9" t="n">
        <v>15000</v>
      </c>
      <c r="E110" s="7" t="n">
        <v>1</v>
      </c>
      <c r="F110" s="9">
        <f>D110*E110</f>
        <v/>
      </c>
      <c r="G110" s="7" t="inlineStr">
        <is>
          <t>Yes</t>
        </is>
      </c>
      <c r="H110" s="8" t="n"/>
    </row>
    <row r="111">
      <c r="A111" s="10" t="n">
        <v>96</v>
      </c>
      <c r="B111" s="11" t="inlineStr">
        <is>
          <t>Wallet System</t>
        </is>
      </c>
      <c r="C111" s="11" t="inlineStr">
        <is>
          <t>Payment</t>
        </is>
      </c>
      <c r="D111" s="12" t="n">
        <v>12000</v>
      </c>
      <c r="E111" s="10" t="n">
        <v>1</v>
      </c>
      <c r="F111" s="12">
        <f>D111*E111</f>
        <v/>
      </c>
      <c r="G111" s="10" t="inlineStr">
        <is>
          <t>Yes</t>
        </is>
      </c>
      <c r="H111" s="11" t="n"/>
    </row>
    <row r="112">
      <c r="A112" s="5" t="inlineStr">
        <is>
          <t>SECURITY</t>
        </is>
      </c>
      <c r="B112" s="6" t="n"/>
      <c r="C112" s="6" t="n"/>
      <c r="D112" s="6" t="n"/>
      <c r="E112" s="6" t="n"/>
      <c r="F112" s="6" t="n"/>
      <c r="G112" s="6" t="n"/>
      <c r="H112" s="6" t="n"/>
    </row>
    <row r="113">
      <c r="A113" s="7" t="n">
        <v>97</v>
      </c>
      <c r="B113" s="8" t="inlineStr">
        <is>
          <t>Data Encryption (at rest + in transit)</t>
        </is>
      </c>
      <c r="C113" s="8" t="inlineStr">
        <is>
          <t>Security</t>
        </is>
      </c>
      <c r="D113" s="9" t="n">
        <v>5000</v>
      </c>
      <c r="E113" s="7" t="n">
        <v>1</v>
      </c>
      <c r="F113" s="9">
        <f>D113*E113</f>
        <v/>
      </c>
      <c r="G113" s="7" t="inlineStr">
        <is>
          <t>Yes</t>
        </is>
      </c>
      <c r="H113" s="8" t="n"/>
    </row>
    <row r="114">
      <c r="A114" s="10" t="n">
        <v>98</v>
      </c>
      <c r="B114" s="11" t="inlineStr">
        <is>
          <t>Certificate Pinning</t>
        </is>
      </c>
      <c r="C114" s="11" t="inlineStr">
        <is>
          <t>Security</t>
        </is>
      </c>
      <c r="D114" s="12" t="n">
        <v>5000</v>
      </c>
      <c r="E114" s="10" t="n">
        <v>1</v>
      </c>
      <c r="F114" s="12">
        <f>D114*E114</f>
        <v/>
      </c>
      <c r="G114" s="10" t="inlineStr">
        <is>
          <t>Yes</t>
        </is>
      </c>
      <c r="H114" s="11" t="n"/>
    </row>
    <row r="115">
      <c r="A115" s="7" t="n">
        <v>99</v>
      </c>
      <c r="B115" s="8" t="inlineStr">
        <is>
          <t>Secure Local Storage</t>
        </is>
      </c>
      <c r="C115" s="8" t="inlineStr">
        <is>
          <t>Security</t>
        </is>
      </c>
      <c r="D115" s="9" t="n">
        <v>3000</v>
      </c>
      <c r="E115" s="7" t="n">
        <v>1</v>
      </c>
      <c r="F115" s="9">
        <f>D115*E115</f>
        <v/>
      </c>
      <c r="G115" s="7" t="inlineStr">
        <is>
          <t>Yes</t>
        </is>
      </c>
      <c r="H115" s="8" t="n"/>
    </row>
    <row r="116">
      <c r="A116" s="10" t="n">
        <v>100</v>
      </c>
      <c r="B116" s="11" t="inlineStr">
        <is>
          <t>Jailbreak / Root Detection</t>
        </is>
      </c>
      <c r="C116" s="11" t="inlineStr">
        <is>
          <t>Security</t>
        </is>
      </c>
      <c r="D116" s="12" t="n">
        <v>5000</v>
      </c>
      <c r="E116" s="10" t="n">
        <v>1</v>
      </c>
      <c r="F116" s="12">
        <f>D116*E116</f>
        <v/>
      </c>
      <c r="G116" s="10" t="inlineStr">
        <is>
          <t>Yes</t>
        </is>
      </c>
      <c r="H116" s="11" t="n"/>
    </row>
    <row r="117">
      <c r="A117" s="7" t="n">
        <v>101</v>
      </c>
      <c r="B117" s="8" t="inlineStr">
        <is>
          <t>Code Obfuscation</t>
        </is>
      </c>
      <c r="C117" s="8" t="inlineStr">
        <is>
          <t>Security</t>
        </is>
      </c>
      <c r="D117" s="9" t="n">
        <v>3000</v>
      </c>
      <c r="E117" s="7" t="n">
        <v>1</v>
      </c>
      <c r="F117" s="9">
        <f>D117*E117</f>
        <v/>
      </c>
      <c r="G117" s="7" t="inlineStr">
        <is>
          <t>Yes</t>
        </is>
      </c>
      <c r="H117" s="8" t="n"/>
    </row>
    <row r="118">
      <c r="A118" s="10" t="n">
        <v>102</v>
      </c>
      <c r="B118" s="11" t="inlineStr">
        <is>
          <t>HIPAA Compliance</t>
        </is>
      </c>
      <c r="C118" s="11" t="inlineStr">
        <is>
          <t>Security</t>
        </is>
      </c>
      <c r="D118" s="12" t="n">
        <v>40000</v>
      </c>
      <c r="E118" s="10" t="n">
        <v>1</v>
      </c>
      <c r="F118" s="12">
        <f>D118*E118</f>
        <v/>
      </c>
      <c r="G118" s="10" t="inlineStr">
        <is>
          <t>Yes</t>
        </is>
      </c>
      <c r="H118" s="11" t="n"/>
    </row>
    <row r="119">
      <c r="A119" s="7" t="n">
        <v>103</v>
      </c>
      <c r="B119" s="8" t="inlineStr">
        <is>
          <t>PCI-DSS Compliance</t>
        </is>
      </c>
      <c r="C119" s="8" t="inlineStr">
        <is>
          <t>Security</t>
        </is>
      </c>
      <c r="D119" s="9" t="n">
        <v>30000</v>
      </c>
      <c r="E119" s="7" t="n">
        <v>1</v>
      </c>
      <c r="F119" s="9">
        <f>D119*E119</f>
        <v/>
      </c>
      <c r="G119" s="7" t="inlineStr">
        <is>
          <t>Yes</t>
        </is>
      </c>
      <c r="H119" s="8" t="n"/>
    </row>
    <row r="120">
      <c r="A120" s="5" t="inlineStr">
        <is>
          <t>TESTING &amp; QA</t>
        </is>
      </c>
      <c r="B120" s="6" t="n"/>
      <c r="C120" s="6" t="n"/>
      <c r="D120" s="6" t="n"/>
      <c r="E120" s="6" t="n"/>
      <c r="F120" s="6" t="n"/>
      <c r="G120" s="6" t="n"/>
      <c r="H120" s="6" t="n"/>
    </row>
    <row r="121">
      <c r="A121" s="10" t="n">
        <v>104</v>
      </c>
      <c r="B121" s="11" t="inlineStr">
        <is>
          <t>Unit Testing Setup + Tests</t>
        </is>
      </c>
      <c r="C121" s="11" t="inlineStr">
        <is>
          <t>Testing</t>
        </is>
      </c>
      <c r="D121" s="12" t="n">
        <v>10000</v>
      </c>
      <c r="E121" s="10" t="n">
        <v>1</v>
      </c>
      <c r="F121" s="12">
        <f>D121*E121</f>
        <v/>
      </c>
      <c r="G121" s="10" t="inlineStr">
        <is>
          <t>Yes</t>
        </is>
      </c>
      <c r="H121" s="11" t="n"/>
    </row>
    <row r="122">
      <c r="A122" s="7" t="n">
        <v>105</v>
      </c>
      <c r="B122" s="8" t="inlineStr">
        <is>
          <t>Integration Testing</t>
        </is>
      </c>
      <c r="C122" s="8" t="inlineStr">
        <is>
          <t>Testing</t>
        </is>
      </c>
      <c r="D122" s="9" t="n">
        <v>8000</v>
      </c>
      <c r="E122" s="7" t="n">
        <v>1</v>
      </c>
      <c r="F122" s="9">
        <f>D122*E122</f>
        <v/>
      </c>
      <c r="G122" s="7" t="inlineStr">
        <is>
          <t>Yes</t>
        </is>
      </c>
      <c r="H122" s="8" t="n"/>
    </row>
    <row r="123">
      <c r="A123" s="10" t="n">
        <v>106</v>
      </c>
      <c r="B123" s="11" t="inlineStr">
        <is>
          <t>UI / Widget Testing</t>
        </is>
      </c>
      <c r="C123" s="11" t="inlineStr">
        <is>
          <t>Testing</t>
        </is>
      </c>
      <c r="D123" s="12" t="n">
        <v>8000</v>
      </c>
      <c r="E123" s="10" t="n">
        <v>1</v>
      </c>
      <c r="F123" s="12">
        <f>D123*E123</f>
        <v/>
      </c>
      <c r="G123" s="10" t="inlineStr">
        <is>
          <t>Yes</t>
        </is>
      </c>
      <c r="H123" s="11" t="n"/>
    </row>
    <row r="124">
      <c r="A124" s="7" t="n">
        <v>107</v>
      </c>
      <c r="B124" s="8" t="inlineStr">
        <is>
          <t>Beta Testing (TestFlight/Play Console)</t>
        </is>
      </c>
      <c r="C124" s="8" t="inlineStr">
        <is>
          <t>Testing</t>
        </is>
      </c>
      <c r="D124" s="9" t="n">
        <v>5000</v>
      </c>
      <c r="E124" s="7" t="n">
        <v>1</v>
      </c>
      <c r="F124" s="9">
        <f>D124*E124</f>
        <v/>
      </c>
      <c r="G124" s="7" t="inlineStr">
        <is>
          <t>Yes</t>
        </is>
      </c>
      <c r="H124" s="8" t="n"/>
    </row>
    <row r="125">
      <c r="A125" s="10" t="n">
        <v>108</v>
      </c>
      <c r="B125" s="11" t="inlineStr">
        <is>
          <t>Device Compatibility Testing</t>
        </is>
      </c>
      <c r="C125" s="11" t="inlineStr">
        <is>
          <t>Testing</t>
        </is>
      </c>
      <c r="D125" s="12" t="n">
        <v>5000</v>
      </c>
      <c r="E125" s="10" t="n">
        <v>1</v>
      </c>
      <c r="F125" s="12">
        <f>D125*E125</f>
        <v/>
      </c>
      <c r="G125" s="10" t="inlineStr">
        <is>
          <t>Yes</t>
        </is>
      </c>
      <c r="H125" s="11" t="n"/>
    </row>
    <row r="126">
      <c r="A126" s="7" t="n">
        <v>109</v>
      </c>
      <c r="B126" s="8" t="inlineStr">
        <is>
          <t>Performance Testing</t>
        </is>
      </c>
      <c r="C126" s="8" t="inlineStr">
        <is>
          <t>Testing</t>
        </is>
      </c>
      <c r="D126" s="9" t="n">
        <v>5000</v>
      </c>
      <c r="E126" s="7" t="n">
        <v>1</v>
      </c>
      <c r="F126" s="9">
        <f>D126*E126</f>
        <v/>
      </c>
      <c r="G126" s="7" t="inlineStr">
        <is>
          <t>Yes</t>
        </is>
      </c>
      <c r="H126" s="8" t="n"/>
    </row>
    <row r="127">
      <c r="A127" s="10" t="n">
        <v>110</v>
      </c>
      <c r="B127" s="11" t="inlineStr">
        <is>
          <t>Security Testing / Pen Test</t>
        </is>
      </c>
      <c r="C127" s="11" t="inlineStr">
        <is>
          <t>Testing</t>
        </is>
      </c>
      <c r="D127" s="12" t="n">
        <v>10000</v>
      </c>
      <c r="E127" s="10" t="n">
        <v>1</v>
      </c>
      <c r="F127" s="12">
        <f>D127*E127</f>
        <v/>
      </c>
      <c r="G127" s="10" t="inlineStr">
        <is>
          <t>Yes</t>
        </is>
      </c>
      <c r="H127" s="11" t="n"/>
    </row>
    <row r="128">
      <c r="A128" s="5" t="inlineStr">
        <is>
          <t>ANALYTICS &amp; MONITORING</t>
        </is>
      </c>
      <c r="B128" s="6" t="n"/>
      <c r="C128" s="6" t="n"/>
      <c r="D128" s="6" t="n"/>
      <c r="E128" s="6" t="n"/>
      <c r="F128" s="6" t="n"/>
      <c r="G128" s="6" t="n"/>
      <c r="H128" s="6" t="n"/>
    </row>
    <row r="129">
      <c r="A129" s="7" t="n">
        <v>111</v>
      </c>
      <c r="B129" s="8" t="inlineStr">
        <is>
          <t>Firebase Analytics Setup</t>
        </is>
      </c>
      <c r="C129" s="8" t="inlineStr">
        <is>
          <t>Analytics</t>
        </is>
      </c>
      <c r="D129" s="9" t="n">
        <v>3000</v>
      </c>
      <c r="E129" s="7" t="n">
        <v>1</v>
      </c>
      <c r="F129" s="9">
        <f>D129*E129</f>
        <v/>
      </c>
      <c r="G129" s="7" t="inlineStr">
        <is>
          <t>Yes</t>
        </is>
      </c>
      <c r="H129" s="8" t="n"/>
    </row>
    <row r="130">
      <c r="A130" s="10" t="n">
        <v>112</v>
      </c>
      <c r="B130" s="11" t="inlineStr">
        <is>
          <t>Crashlytics / Sentry Setup</t>
        </is>
      </c>
      <c r="C130" s="11" t="inlineStr">
        <is>
          <t>Analytics</t>
        </is>
      </c>
      <c r="D130" s="12" t="n">
        <v>3000</v>
      </c>
      <c r="E130" s="10" t="n">
        <v>1</v>
      </c>
      <c r="F130" s="12">
        <f>D130*E130</f>
        <v/>
      </c>
      <c r="G130" s="10" t="inlineStr">
        <is>
          <t>Yes</t>
        </is>
      </c>
      <c r="H130" s="11" t="n"/>
    </row>
    <row r="131">
      <c r="A131" s="7" t="n">
        <v>113</v>
      </c>
      <c r="B131" s="8" t="inlineStr">
        <is>
          <t>Mixpanel / Amplitude Integration</t>
        </is>
      </c>
      <c r="C131" s="8" t="inlineStr">
        <is>
          <t>Analytics</t>
        </is>
      </c>
      <c r="D131" s="9" t="n">
        <v>5000</v>
      </c>
      <c r="E131" s="7" t="n">
        <v>1</v>
      </c>
      <c r="F131" s="9">
        <f>D131*E131</f>
        <v/>
      </c>
      <c r="G131" s="7" t="inlineStr">
        <is>
          <t>Yes</t>
        </is>
      </c>
      <c r="H131" s="8" t="n"/>
    </row>
    <row r="132">
      <c r="A132" s="10" t="n">
        <v>114</v>
      </c>
      <c r="B132" s="11" t="inlineStr">
        <is>
          <t>Custom Analytics Dashboard</t>
        </is>
      </c>
      <c r="C132" s="11" t="inlineStr">
        <is>
          <t>Analytics</t>
        </is>
      </c>
      <c r="D132" s="12" t="n">
        <v>10000</v>
      </c>
      <c r="E132" s="10" t="n">
        <v>1</v>
      </c>
      <c r="F132" s="12">
        <f>D132*E132</f>
        <v/>
      </c>
      <c r="G132" s="10" t="inlineStr">
        <is>
          <t>Yes</t>
        </is>
      </c>
      <c r="H132" s="11" t="n"/>
    </row>
    <row r="133">
      <c r="A133" s="5" t="inlineStr">
        <is>
          <t>THIRD-PARTY INTEGRATIONS</t>
        </is>
      </c>
      <c r="B133" s="6" t="n"/>
      <c r="C133" s="6" t="n"/>
      <c r="D133" s="6" t="n"/>
      <c r="E133" s="6" t="n"/>
      <c r="F133" s="6" t="n"/>
      <c r="G133" s="6" t="n"/>
      <c r="H133" s="6" t="n"/>
    </row>
    <row r="134">
      <c r="A134" s="7" t="n">
        <v>115</v>
      </c>
      <c r="B134" s="8" t="inlineStr">
        <is>
          <t>Email Service (SendGrid/SES)</t>
        </is>
      </c>
      <c r="C134" s="8" t="inlineStr">
        <is>
          <t>Integration</t>
        </is>
      </c>
      <c r="D134" s="9" t="n">
        <v>5000</v>
      </c>
      <c r="E134" s="7" t="n">
        <v>1</v>
      </c>
      <c r="F134" s="9">
        <f>D134*E134</f>
        <v/>
      </c>
      <c r="G134" s="7" t="inlineStr">
        <is>
          <t>Yes</t>
        </is>
      </c>
      <c r="H134" s="8" t="n"/>
    </row>
    <row r="135">
      <c r="A135" s="10" t="n">
        <v>116</v>
      </c>
      <c r="B135" s="11" t="inlineStr">
        <is>
          <t>SMS / OTP Service (Twilio/MSG91)</t>
        </is>
      </c>
      <c r="C135" s="11" t="inlineStr">
        <is>
          <t>Integration</t>
        </is>
      </c>
      <c r="D135" s="12" t="n">
        <v>5000</v>
      </c>
      <c r="E135" s="10" t="n">
        <v>1</v>
      </c>
      <c r="F135" s="12">
        <f>D135*E135</f>
        <v/>
      </c>
      <c r="G135" s="10" t="inlineStr">
        <is>
          <t>Yes</t>
        </is>
      </c>
      <c r="H135" s="11" t="n"/>
    </row>
    <row r="136">
      <c r="A136" s="7" t="n">
        <v>117</v>
      </c>
      <c r="B136" s="8" t="inlineStr">
        <is>
          <t>Social Media API Integration</t>
        </is>
      </c>
      <c r="C136" s="8" t="inlineStr">
        <is>
          <t>Integration</t>
        </is>
      </c>
      <c r="D136" s="9" t="n">
        <v>5000</v>
      </c>
      <c r="E136" s="7" t="n">
        <v>1</v>
      </c>
      <c r="F136" s="9">
        <f>D136*E136</f>
        <v/>
      </c>
      <c r="G136" s="7" t="inlineStr">
        <is>
          <t>Yes</t>
        </is>
      </c>
      <c r="H136" s="8" t="n"/>
    </row>
    <row r="137">
      <c r="A137" s="10" t="n">
        <v>118</v>
      </c>
      <c r="B137" s="11" t="inlineStr">
        <is>
          <t>Calendar Integration</t>
        </is>
      </c>
      <c r="C137" s="11" t="inlineStr">
        <is>
          <t>Integration</t>
        </is>
      </c>
      <c r="D137" s="12" t="n">
        <v>5000</v>
      </c>
      <c r="E137" s="10" t="n">
        <v>1</v>
      </c>
      <c r="F137" s="12">
        <f>D137*E137</f>
        <v/>
      </c>
      <c r="G137" s="10" t="inlineStr">
        <is>
          <t>Yes</t>
        </is>
      </c>
      <c r="H137" s="11" t="n"/>
    </row>
    <row r="138">
      <c r="A138" s="7" t="n">
        <v>119</v>
      </c>
      <c r="B138" s="8" t="inlineStr">
        <is>
          <t>Cloud Messaging (FCM/OneSignal)</t>
        </is>
      </c>
      <c r="C138" s="8" t="inlineStr">
        <is>
          <t>Integration</t>
        </is>
      </c>
      <c r="D138" s="9" t="n">
        <v>5000</v>
      </c>
      <c r="E138" s="7" t="n">
        <v>1</v>
      </c>
      <c r="F138" s="9">
        <f>D138*E138</f>
        <v/>
      </c>
      <c r="G138" s="7" t="inlineStr">
        <is>
          <t>Yes</t>
        </is>
      </c>
      <c r="H138" s="8" t="n"/>
    </row>
    <row r="139">
      <c r="A139" s="10" t="n">
        <v>120</v>
      </c>
      <c r="B139" s="11" t="inlineStr">
        <is>
          <t>ERP / CRM Integration</t>
        </is>
      </c>
      <c r="C139" s="11" t="inlineStr">
        <is>
          <t>Integration</t>
        </is>
      </c>
      <c r="D139" s="12" t="n">
        <v>15000</v>
      </c>
      <c r="E139" s="10" t="n">
        <v>1</v>
      </c>
      <c r="F139" s="12">
        <f>D139*E139</f>
        <v/>
      </c>
      <c r="G139" s="10" t="inlineStr">
        <is>
          <t>Yes</t>
        </is>
      </c>
      <c r="H139" s="11" t="n"/>
    </row>
    <row r="141">
      <c r="A141" s="13" t="inlineStr">
        <is>
          <t>SUBTOTAL (All Items)</t>
        </is>
      </c>
      <c r="B141" s="14" t="n"/>
      <c r="C141" s="14" t="n"/>
      <c r="D141" s="14" t="n"/>
      <c r="E141" s="14" t="n"/>
      <c r="F141" s="15">
        <f>SUMPRODUCT((G7:G139="Yes")*F7:F139)</f>
        <v/>
      </c>
      <c r="G141" s="14" t="n"/>
      <c r="H141" s="14" t="n"/>
    </row>
    <row r="142">
      <c r="A142" s="16" t="n"/>
      <c r="B142" s="16" t="inlineStr">
        <is>
          <t>Platform Multiplier (1.0=One, 1.3-1.5=Both Cross-Platform, 1.8-2.0=Both Native)</t>
        </is>
      </c>
      <c r="C142" s="16" t="n"/>
      <c r="D142" s="16" t="n"/>
      <c r="E142" s="17" t="n">
        <v>1</v>
      </c>
      <c r="F142" s="18">
        <f>F141*E142</f>
        <v/>
      </c>
      <c r="G142" s="16" t="n"/>
      <c r="H142" s="16" t="n"/>
    </row>
    <row r="143">
      <c r="A143" s="16" t="n"/>
      <c r="B143" s="16" t="inlineStr">
        <is>
          <t>Complexity Multiplier (1.0=Simple, 1.5=Medium, 2.0=Complex, 3.0=Enterprise)</t>
        </is>
      </c>
      <c r="C143" s="16" t="n"/>
      <c r="D143" s="16" t="n"/>
      <c r="E143" s="17" t="n">
        <v>1</v>
      </c>
      <c r="F143" s="18">
        <f>F142*E143</f>
        <v/>
      </c>
      <c r="G143" s="16" t="n"/>
      <c r="H143" s="16" t="n"/>
    </row>
    <row r="144">
      <c r="A144" s="16" t="n"/>
      <c r="B144" s="16" t="inlineStr">
        <is>
          <t>Discount (%)</t>
        </is>
      </c>
      <c r="C144" s="16" t="n"/>
      <c r="D144" s="16" t="n"/>
      <c r="E144" s="17" t="n">
        <v>0</v>
      </c>
      <c r="F144" s="18">
        <f>F143*(1-E144/100)</f>
        <v/>
      </c>
      <c r="G144" s="16" t="n"/>
      <c r="H144" s="16" t="n"/>
    </row>
    <row r="145">
      <c r="A145" s="16" t="n"/>
      <c r="B145" s="16" t="inlineStr">
        <is>
          <t>GST (18%)</t>
        </is>
      </c>
      <c r="C145" s="16" t="n"/>
      <c r="D145" s="16" t="n"/>
      <c r="E145" s="16" t="n"/>
      <c r="F145" s="18">
        <f>F144*0.18</f>
        <v/>
      </c>
      <c r="G145" s="16" t="n"/>
      <c r="H145" s="16" t="n"/>
    </row>
    <row r="146">
      <c r="A146" s="19" t="inlineStr">
        <is>
          <t>GRAND TOTAL (incl. GST)</t>
        </is>
      </c>
      <c r="B146" s="20" t="n"/>
      <c r="C146" s="20" t="n"/>
      <c r="D146" s="20" t="n"/>
      <c r="E146" s="20" t="n"/>
      <c r="F146" s="21">
        <f>F144+F145</f>
        <v/>
      </c>
      <c r="G146" s="20" t="n"/>
      <c r="H146" s="20" t="n"/>
    </row>
    <row r="148">
      <c r="A148" s="5" t="inlineStr">
        <is>
          <t>PAYMENT SCHEDULE</t>
        </is>
      </c>
      <c r="B148" s="6" t="n"/>
      <c r="C148" s="6" t="n"/>
      <c r="D148" s="6" t="n"/>
      <c r="E148" s="6" t="n"/>
      <c r="F148" s="6" t="n"/>
      <c r="G148" s="6" t="n"/>
      <c r="H148" s="6" t="n"/>
    </row>
    <row r="149">
      <c r="A149" s="11" t="n"/>
      <c r="B149" s="11" t="inlineStr">
        <is>
          <t>Advance (Before Starting)</t>
        </is>
      </c>
      <c r="C149" s="11" t="n"/>
      <c r="D149" s="11" t="n"/>
      <c r="E149" s="11" t="inlineStr">
        <is>
          <t>30-40%</t>
        </is>
      </c>
      <c r="F149" s="12">
        <f>F146*0.35</f>
        <v/>
      </c>
      <c r="G149" s="11" t="n"/>
      <c r="H149" s="11" t="n"/>
    </row>
    <row r="150">
      <c r="A150" s="11" t="n"/>
      <c r="B150" s="11" t="inlineStr">
        <is>
          <t>After Design Approval</t>
        </is>
      </c>
      <c r="C150" s="11" t="n"/>
      <c r="D150" s="11" t="n"/>
      <c r="E150" s="11" t="inlineStr">
        <is>
          <t>20-25%</t>
        </is>
      </c>
      <c r="F150" s="12">
        <f>F146*0.20</f>
        <v/>
      </c>
      <c r="G150" s="11" t="n"/>
      <c r="H150" s="11" t="n"/>
    </row>
    <row r="151">
      <c r="A151" s="11" t="n"/>
      <c r="B151" s="11" t="inlineStr">
        <is>
          <t>After Development Completion</t>
        </is>
      </c>
      <c r="C151" s="11" t="n"/>
      <c r="D151" s="11" t="n"/>
      <c r="E151" s="11" t="inlineStr">
        <is>
          <t>25-30%</t>
        </is>
      </c>
      <c r="F151" s="12">
        <f>F146*0.25</f>
        <v/>
      </c>
      <c r="G151" s="11" t="n"/>
      <c r="H151" s="11" t="n"/>
    </row>
    <row r="152">
      <c r="A152" s="11" t="n"/>
      <c r="B152" s="11" t="inlineStr">
        <is>
          <t>After Testing &amp; Store Submission</t>
        </is>
      </c>
      <c r="C152" s="11" t="n"/>
      <c r="D152" s="11" t="n"/>
      <c r="E152" s="11" t="inlineStr">
        <is>
          <t>10-15%</t>
        </is>
      </c>
      <c r="F152" s="12">
        <f>F146*0.10</f>
        <v/>
      </c>
      <c r="G152" s="11" t="n"/>
      <c r="H152" s="11" t="n"/>
    </row>
    <row r="153">
      <c r="A153" s="11" t="n"/>
      <c r="B153" s="11" t="inlineStr">
        <is>
          <t>After Launch &amp; Handover</t>
        </is>
      </c>
      <c r="C153" s="11" t="n"/>
      <c r="D153" s="11" t="n"/>
      <c r="E153" s="11" t="inlineStr">
        <is>
          <t>5-10%</t>
        </is>
      </c>
      <c r="F153" s="12">
        <f>F146*0.10</f>
        <v/>
      </c>
      <c r="G153" s="11" t="n"/>
      <c r="H153" s="11" t="n"/>
    </row>
  </sheetData>
  <mergeCells count="20">
    <mergeCell ref="A48:H48"/>
    <mergeCell ref="A148:H148"/>
    <mergeCell ref="A24:H24"/>
    <mergeCell ref="A82:H82"/>
    <mergeCell ref="A1:H1"/>
    <mergeCell ref="A146:E146"/>
    <mergeCell ref="A7:H7"/>
    <mergeCell ref="A128:H128"/>
    <mergeCell ref="A133:H133"/>
    <mergeCell ref="A120:H120"/>
    <mergeCell ref="A3:H3"/>
    <mergeCell ref="A2:H2"/>
    <mergeCell ref="A104:H104"/>
    <mergeCell ref="A141:E141"/>
    <mergeCell ref="A4:H4"/>
    <mergeCell ref="A35:H35"/>
    <mergeCell ref="A72:H72"/>
    <mergeCell ref="A112:H112"/>
    <mergeCell ref="A13:H13"/>
    <mergeCell ref="A93:H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MOBILE APP MAINTENANCE PLANS</t>
        </is>
      </c>
      <c r="B1" s="2" t="n"/>
      <c r="C1" s="2" t="n"/>
      <c r="D1" s="2" t="n"/>
      <c r="E1" s="2" t="n"/>
      <c r="F1" s="2" t="n"/>
      <c r="G1" s="2" t="n"/>
    </row>
    <row r="3">
      <c r="A3" s="22" t="inlineStr">
        <is>
          <t>#</t>
        </is>
      </c>
      <c r="B3" s="22" t="inlineStr">
        <is>
          <t>Service</t>
        </is>
      </c>
      <c r="C3" s="22" t="inlineStr">
        <is>
          <t>Basic
₹5K/mo</t>
        </is>
      </c>
      <c r="D3" s="22" t="inlineStr">
        <is>
          <t>Standard
₹12K/mo</t>
        </is>
      </c>
      <c r="E3" s="22" t="inlineStr">
        <is>
          <t>Professional
₹25K/mo</t>
        </is>
      </c>
      <c r="F3" s="22" t="inlineStr">
        <is>
          <t>Enterprise
₹40K/mo</t>
        </is>
      </c>
      <c r="G3" s="22" t="inlineStr">
        <is>
          <t>Premium
₹60K/mo</t>
        </is>
      </c>
    </row>
    <row r="4">
      <c r="A4" s="7" t="n">
        <v>1</v>
      </c>
      <c r="B4" s="8" t="inlineStr">
        <is>
          <t>Crash Monitoring</t>
        </is>
      </c>
      <c r="C4" s="7" t="inlineStr">
        <is>
          <t>✓</t>
        </is>
      </c>
      <c r="D4" s="7" t="inlineStr">
        <is>
          <t>✓</t>
        </is>
      </c>
      <c r="E4" s="7" t="inlineStr">
        <is>
          <t>✓</t>
        </is>
      </c>
      <c r="F4" s="7" t="inlineStr">
        <is>
          <t>✓</t>
        </is>
      </c>
      <c r="G4" s="7" t="inlineStr">
        <is>
          <t>✓</t>
        </is>
      </c>
    </row>
    <row r="5">
      <c r="A5" s="10" t="n">
        <v>2</v>
      </c>
      <c r="B5" s="11" t="inlineStr">
        <is>
          <t>Bug Fixes</t>
        </is>
      </c>
      <c r="C5" s="10" t="inlineStr">
        <is>
          <t>Critical</t>
        </is>
      </c>
      <c r="D5" s="10" t="inlineStr">
        <is>
          <t>All</t>
        </is>
      </c>
      <c r="E5" s="10" t="inlineStr">
        <is>
          <t>All+Priority</t>
        </is>
      </c>
      <c r="F5" s="10" t="inlineStr">
        <is>
          <t>All+Priority</t>
        </is>
      </c>
      <c r="G5" s="10" t="inlineStr">
        <is>
          <t>All+Priority</t>
        </is>
      </c>
    </row>
    <row r="6">
      <c r="A6" s="7" t="n">
        <v>3</v>
      </c>
      <c r="B6" s="8" t="inlineStr">
        <is>
          <t>OS Compatibility Updates</t>
        </is>
      </c>
      <c r="C6" s="7" t="inlineStr">
        <is>
          <t>Yearly</t>
        </is>
      </c>
      <c r="D6" s="7" t="inlineStr">
        <is>
          <t>6 months</t>
        </is>
      </c>
      <c r="E6" s="7" t="inlineStr">
        <is>
          <t>Quarterly</t>
        </is>
      </c>
      <c r="F6" s="7" t="inlineStr">
        <is>
          <t>Monthly</t>
        </is>
      </c>
      <c r="G6" s="7" t="inlineStr">
        <is>
          <t>As Released</t>
        </is>
      </c>
    </row>
    <row r="7">
      <c r="A7" s="10" t="n">
        <v>4</v>
      </c>
      <c r="B7" s="11" t="inlineStr">
        <is>
          <t>Library/SDK Updates</t>
        </is>
      </c>
      <c r="C7" s="10" t="inlineStr">
        <is>
          <t>✗</t>
        </is>
      </c>
      <c r="D7" s="10" t="inlineStr">
        <is>
          <t>Quarterly</t>
        </is>
      </c>
      <c r="E7" s="10" t="inlineStr">
        <is>
          <t>Monthly</t>
        </is>
      </c>
      <c r="F7" s="10" t="inlineStr">
        <is>
          <t>Bi-weekly</t>
        </is>
      </c>
      <c r="G7" s="10" t="inlineStr">
        <is>
          <t>As needed</t>
        </is>
      </c>
    </row>
    <row r="8">
      <c r="A8" s="7" t="n">
        <v>5</v>
      </c>
      <c r="B8" s="8" t="inlineStr">
        <is>
          <t>App Store Policy Compliance</t>
        </is>
      </c>
      <c r="C8" s="7" t="inlineStr">
        <is>
          <t>✗</t>
        </is>
      </c>
      <c r="D8" s="7" t="inlineStr">
        <is>
          <t>✓</t>
        </is>
      </c>
      <c r="E8" s="7" t="inlineStr">
        <is>
          <t>✓</t>
        </is>
      </c>
      <c r="F8" s="7" t="inlineStr">
        <is>
          <t>✓</t>
        </is>
      </c>
      <c r="G8" s="7" t="inlineStr">
        <is>
          <t>✓</t>
        </is>
      </c>
    </row>
    <row r="9">
      <c r="A9" s="10" t="n">
        <v>6</v>
      </c>
      <c r="B9" s="11" t="inlineStr">
        <is>
          <t>Performance Monitoring</t>
        </is>
      </c>
      <c r="C9" s="10" t="inlineStr">
        <is>
          <t>Basic</t>
        </is>
      </c>
      <c r="D9" s="10" t="inlineStr">
        <is>
          <t>Standard</t>
        </is>
      </c>
      <c r="E9" s="10" t="inlineStr">
        <is>
          <t>Advanced</t>
        </is>
      </c>
      <c r="F9" s="10" t="inlineStr">
        <is>
          <t>Real-time</t>
        </is>
      </c>
      <c r="G9" s="10" t="inlineStr">
        <is>
          <t>Real-time</t>
        </is>
      </c>
    </row>
    <row r="10">
      <c r="A10" s="7" t="n">
        <v>7</v>
      </c>
      <c r="B10" s="8" t="inlineStr">
        <is>
          <t>Server/API Monitoring</t>
        </is>
      </c>
      <c r="C10" s="7" t="inlineStr">
        <is>
          <t>✗</t>
        </is>
      </c>
      <c r="D10" s="7" t="inlineStr">
        <is>
          <t>Basic</t>
        </is>
      </c>
      <c r="E10" s="7" t="inlineStr">
        <is>
          <t>Full</t>
        </is>
      </c>
      <c r="F10" s="7" t="inlineStr">
        <is>
          <t>Full</t>
        </is>
      </c>
      <c r="G10" s="7" t="inlineStr">
        <is>
          <t>Full+Alerts</t>
        </is>
      </c>
    </row>
    <row r="11">
      <c r="A11" s="10" t="n">
        <v>8</v>
      </c>
      <c r="B11" s="11" t="inlineStr">
        <is>
          <t>Database Backups</t>
        </is>
      </c>
      <c r="C11" s="10" t="inlineStr">
        <is>
          <t>Weekly</t>
        </is>
      </c>
      <c r="D11" s="10" t="inlineStr">
        <is>
          <t>Daily</t>
        </is>
      </c>
      <c r="E11" s="10" t="inlineStr">
        <is>
          <t>Daily</t>
        </is>
      </c>
      <c r="F11" s="10" t="inlineStr">
        <is>
          <t>Hourly</t>
        </is>
      </c>
      <c r="G11" s="10" t="inlineStr">
        <is>
          <t>Continuous</t>
        </is>
      </c>
    </row>
    <row r="12">
      <c r="A12" s="7" t="n">
        <v>9</v>
      </c>
      <c r="B12" s="8" t="inlineStr">
        <is>
          <t>Security Patches</t>
        </is>
      </c>
      <c r="C12" s="7" t="inlineStr">
        <is>
          <t>Quarterly</t>
        </is>
      </c>
      <c r="D12" s="7" t="inlineStr">
        <is>
          <t>Monthly</t>
        </is>
      </c>
      <c r="E12" s="7" t="inlineStr">
        <is>
          <t>Bi-weekly</t>
        </is>
      </c>
      <c r="F12" s="7" t="inlineStr">
        <is>
          <t>Weekly</t>
        </is>
      </c>
      <c r="G12" s="7" t="inlineStr">
        <is>
          <t>As needed</t>
        </is>
      </c>
    </row>
    <row r="13">
      <c r="A13" s="10" t="n">
        <v>10</v>
      </c>
      <c r="B13" s="11" t="inlineStr">
        <is>
          <t>Feature Updates (small)</t>
        </is>
      </c>
      <c r="C13" s="10" t="inlineStr">
        <is>
          <t>✗</t>
        </is>
      </c>
      <c r="D13" s="10" t="inlineStr">
        <is>
          <t>1/month</t>
        </is>
      </c>
      <c r="E13" s="10" t="inlineStr">
        <is>
          <t>2/month</t>
        </is>
      </c>
      <c r="F13" s="10" t="inlineStr">
        <is>
          <t>4/month</t>
        </is>
      </c>
      <c r="G13" s="10" t="inlineStr">
        <is>
          <t>Unlimited</t>
        </is>
      </c>
    </row>
    <row r="14">
      <c r="A14" s="7" t="n">
        <v>11</v>
      </c>
      <c r="B14" s="8" t="inlineStr">
        <is>
          <t>App Store Updates</t>
        </is>
      </c>
      <c r="C14" s="7" t="inlineStr">
        <is>
          <t>2/year</t>
        </is>
      </c>
      <c r="D14" s="7" t="inlineStr">
        <is>
          <t>4/year</t>
        </is>
      </c>
      <c r="E14" s="7" t="inlineStr">
        <is>
          <t>Monthly</t>
        </is>
      </c>
      <c r="F14" s="7" t="inlineStr">
        <is>
          <t>Bi-weekly</t>
        </is>
      </c>
      <c r="G14" s="7" t="inlineStr">
        <is>
          <t>As needed</t>
        </is>
      </c>
    </row>
    <row r="15">
      <c r="A15" s="10" t="n">
        <v>12</v>
      </c>
      <c r="B15" s="11" t="inlineStr">
        <is>
          <t>Analytics Reports</t>
        </is>
      </c>
      <c r="C15" s="10" t="inlineStr">
        <is>
          <t>✗</t>
        </is>
      </c>
      <c r="D15" s="10" t="inlineStr">
        <is>
          <t>Monthly</t>
        </is>
      </c>
      <c r="E15" s="10" t="inlineStr">
        <is>
          <t>Bi-weekly</t>
        </is>
      </c>
      <c r="F15" s="10" t="inlineStr">
        <is>
          <t>Weekly</t>
        </is>
      </c>
      <c r="G15" s="10" t="inlineStr">
        <is>
          <t>Daily</t>
        </is>
      </c>
    </row>
    <row r="16">
      <c r="A16" s="7" t="n">
        <v>13</v>
      </c>
      <c r="B16" s="8" t="inlineStr">
        <is>
          <t>User Feedback Management</t>
        </is>
      </c>
      <c r="C16" s="7" t="inlineStr">
        <is>
          <t>✗</t>
        </is>
      </c>
      <c r="D16" s="7" t="inlineStr">
        <is>
          <t>✗</t>
        </is>
      </c>
      <c r="E16" s="7" t="inlineStr">
        <is>
          <t>✓</t>
        </is>
      </c>
      <c r="F16" s="7" t="inlineStr">
        <is>
          <t>✓</t>
        </is>
      </c>
      <c r="G16" s="7" t="inlineStr">
        <is>
          <t>✓</t>
        </is>
      </c>
    </row>
    <row r="17">
      <c r="A17" s="10" t="n">
        <v>14</v>
      </c>
      <c r="B17" s="11" t="inlineStr">
        <is>
          <t>Support Response Time</t>
        </is>
      </c>
      <c r="C17" s="10" t="inlineStr">
        <is>
          <t>48hrs</t>
        </is>
      </c>
      <c r="D17" s="10" t="inlineStr">
        <is>
          <t>24hrs</t>
        </is>
      </c>
      <c r="E17" s="10" t="inlineStr">
        <is>
          <t>12hrs</t>
        </is>
      </c>
      <c r="F17" s="10" t="inlineStr">
        <is>
          <t>4hrs</t>
        </is>
      </c>
      <c r="G17" s="10" t="inlineStr">
        <is>
          <t>1hr</t>
        </is>
      </c>
    </row>
    <row r="18">
      <c r="A18" s="7" t="n">
        <v>15</v>
      </c>
      <c r="B18" s="8" t="inlineStr">
        <is>
          <t>Support Channels</t>
        </is>
      </c>
      <c r="C18" s="7" t="inlineStr">
        <is>
          <t>Email</t>
        </is>
      </c>
      <c r="D18" s="7" t="inlineStr">
        <is>
          <t>Email+Chat</t>
        </is>
      </c>
      <c r="E18" s="7" t="inlineStr">
        <is>
          <t>All</t>
        </is>
      </c>
      <c r="F18" s="7" t="inlineStr">
        <is>
          <t>All+Dedicated</t>
        </is>
      </c>
      <c r="G18" s="7" t="inlineStr">
        <is>
          <t>All+Dedicated</t>
        </is>
      </c>
    </row>
    <row r="19">
      <c r="A19" s="10" t="n">
        <v>16</v>
      </c>
      <c r="B19" s="11" t="inlineStr">
        <is>
          <t>Server Scaling Support</t>
        </is>
      </c>
      <c r="C19" s="10" t="inlineStr">
        <is>
          <t>✗</t>
        </is>
      </c>
      <c r="D19" s="10" t="inlineStr">
        <is>
          <t>✗</t>
        </is>
      </c>
      <c r="E19" s="10" t="inlineStr">
        <is>
          <t>Basic</t>
        </is>
      </c>
      <c r="F19" s="10" t="inlineStr">
        <is>
          <t>Full</t>
        </is>
      </c>
      <c r="G19" s="10" t="inlineStr">
        <is>
          <t>Full+Auto</t>
        </is>
      </c>
    </row>
    <row r="20">
      <c r="A20" s="7" t="n">
        <v>17</v>
      </c>
      <c r="B20" s="8" t="inlineStr">
        <is>
          <t>A/B Testing Support</t>
        </is>
      </c>
      <c r="C20" s="7" t="inlineStr">
        <is>
          <t>✗</t>
        </is>
      </c>
      <c r="D20" s="7" t="inlineStr">
        <is>
          <t>✗</t>
        </is>
      </c>
      <c r="E20" s="7" t="inlineStr">
        <is>
          <t>✓</t>
        </is>
      </c>
      <c r="F20" s="7" t="inlineStr">
        <is>
          <t>✓</t>
        </is>
      </c>
      <c r="G20" s="7" t="inlineStr">
        <is>
          <t>✓</t>
        </is>
      </c>
    </row>
    <row r="21">
      <c r="A21" s="10" t="n">
        <v>18</v>
      </c>
      <c r="B21" s="11" t="inlineStr">
        <is>
          <t>Priority Hotfix Deployment</t>
        </is>
      </c>
      <c r="C21" s="10" t="inlineStr">
        <is>
          <t>✗</t>
        </is>
      </c>
      <c r="D21" s="10" t="inlineStr">
        <is>
          <t>✗</t>
        </is>
      </c>
      <c r="E21" s="10" t="inlineStr">
        <is>
          <t>✓</t>
        </is>
      </c>
      <c r="F21" s="10" t="inlineStr">
        <is>
          <t>✓</t>
        </is>
      </c>
      <c r="G21" s="10" t="inlineStr">
        <is>
          <t>✓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>
      <c r="A1" s="23" t="inlineStr">
        <is>
          <t>APP COST BY TYPE &amp; COMPLEXITY</t>
        </is>
      </c>
      <c r="B1" s="24" t="n"/>
      <c r="C1" s="24" t="n"/>
      <c r="D1" s="24" t="n"/>
      <c r="E1" s="24" t="n"/>
    </row>
    <row r="3">
      <c r="A3" s="22" t="inlineStr">
        <is>
          <t>#</t>
        </is>
      </c>
      <c r="B3" s="22" t="inlineStr">
        <is>
          <t>App Type</t>
        </is>
      </c>
      <c r="C3" s="22" t="inlineStr">
        <is>
          <t>Simple (₹)</t>
        </is>
      </c>
      <c r="D3" s="22" t="inlineStr">
        <is>
          <t>Medium (₹)</t>
        </is>
      </c>
      <c r="E3" s="22" t="inlineStr">
        <is>
          <t>Complex (₹)</t>
        </is>
      </c>
    </row>
    <row r="4">
      <c r="A4" s="7" t="n">
        <v>1</v>
      </c>
      <c r="B4" s="8" t="inlineStr">
        <is>
          <t>Business / Portfolio</t>
        </is>
      </c>
      <c r="C4" s="7" t="inlineStr">
        <is>
          <t>50K - 1L</t>
        </is>
      </c>
      <c r="D4" s="7" t="inlineStr">
        <is>
          <t>1L - 2.5L</t>
        </is>
      </c>
      <c r="E4" s="7" t="inlineStr">
        <is>
          <t>2.5L - 5L</t>
        </is>
      </c>
    </row>
    <row r="5">
      <c r="A5" s="10" t="n">
        <v>2</v>
      </c>
      <c r="B5" s="11" t="inlineStr">
        <is>
          <t>E-Commerce</t>
        </is>
      </c>
      <c r="C5" s="10" t="inlineStr">
        <is>
          <t>2L - 4L</t>
        </is>
      </c>
      <c r="D5" s="10" t="inlineStr">
        <is>
          <t>4L - 8L</t>
        </is>
      </c>
      <c r="E5" s="10" t="inlineStr">
        <is>
          <t>8L - 20L</t>
        </is>
      </c>
    </row>
    <row r="6">
      <c r="A6" s="7" t="n">
        <v>3</v>
      </c>
      <c r="B6" s="8" t="inlineStr">
        <is>
          <t>Social Networking</t>
        </is>
      </c>
      <c r="C6" s="7" t="inlineStr">
        <is>
          <t>3L - 6L</t>
        </is>
      </c>
      <c r="D6" s="7" t="inlineStr">
        <is>
          <t>6L - 15L</t>
        </is>
      </c>
      <c r="E6" s="7" t="inlineStr">
        <is>
          <t>15L - 40L</t>
        </is>
      </c>
    </row>
    <row r="7">
      <c r="A7" s="10" t="n">
        <v>4</v>
      </c>
      <c r="B7" s="11" t="inlineStr">
        <is>
          <t>On-Demand Service</t>
        </is>
      </c>
      <c r="C7" s="10" t="inlineStr">
        <is>
          <t>4L - 8L</t>
        </is>
      </c>
      <c r="D7" s="10" t="inlineStr">
        <is>
          <t>8L - 15L</t>
        </is>
      </c>
      <c r="E7" s="10" t="inlineStr">
        <is>
          <t>15L - 30L</t>
        </is>
      </c>
    </row>
    <row r="8">
      <c r="A8" s="7" t="n">
        <v>5</v>
      </c>
      <c r="B8" s="8" t="inlineStr">
        <is>
          <t>Food Delivery</t>
        </is>
      </c>
      <c r="C8" s="7" t="inlineStr">
        <is>
          <t>5L - 8L</t>
        </is>
      </c>
      <c r="D8" s="7" t="inlineStr">
        <is>
          <t>8L - 15L</t>
        </is>
      </c>
      <c r="E8" s="7" t="inlineStr">
        <is>
          <t>15L - 25L</t>
        </is>
      </c>
    </row>
    <row r="9">
      <c r="A9" s="10" t="n">
        <v>6</v>
      </c>
      <c r="B9" s="11" t="inlineStr">
        <is>
          <t>Ride Sharing</t>
        </is>
      </c>
      <c r="C9" s="10" t="inlineStr">
        <is>
          <t>6L - 10L</t>
        </is>
      </c>
      <c r="D9" s="10" t="inlineStr">
        <is>
          <t>10L - 20L</t>
        </is>
      </c>
      <c r="E9" s="10" t="inlineStr">
        <is>
          <t>20L - 40L</t>
        </is>
      </c>
    </row>
    <row r="10">
      <c r="A10" s="7" t="n">
        <v>7</v>
      </c>
      <c r="B10" s="8" t="inlineStr">
        <is>
          <t>FinTech / Banking</t>
        </is>
      </c>
      <c r="C10" s="7" t="inlineStr">
        <is>
          <t>5L - 10L</t>
        </is>
      </c>
      <c r="D10" s="7" t="inlineStr">
        <is>
          <t>10L - 20L</t>
        </is>
      </c>
      <c r="E10" s="7" t="inlineStr">
        <is>
          <t>20L - 50L</t>
        </is>
      </c>
    </row>
    <row r="11">
      <c r="A11" s="10" t="n">
        <v>8</v>
      </c>
      <c r="B11" s="11" t="inlineStr">
        <is>
          <t>Healthcare / Telemedicine</t>
        </is>
      </c>
      <c r="C11" s="10" t="inlineStr">
        <is>
          <t>4L - 8L</t>
        </is>
      </c>
      <c r="D11" s="10" t="inlineStr">
        <is>
          <t>8L - 18L</t>
        </is>
      </c>
      <c r="E11" s="10" t="inlineStr">
        <is>
          <t>18L - 35L</t>
        </is>
      </c>
    </row>
    <row r="12">
      <c r="A12" s="7" t="n">
        <v>9</v>
      </c>
      <c r="B12" s="8" t="inlineStr">
        <is>
          <t>Education / LMS</t>
        </is>
      </c>
      <c r="C12" s="7" t="inlineStr">
        <is>
          <t>3L - 6L</t>
        </is>
      </c>
      <c r="D12" s="7" t="inlineStr">
        <is>
          <t>6L - 12L</t>
        </is>
      </c>
      <c r="E12" s="7" t="inlineStr">
        <is>
          <t>12L - 25L</t>
        </is>
      </c>
    </row>
    <row r="13">
      <c r="A13" s="10" t="n">
        <v>10</v>
      </c>
      <c r="B13" s="11" t="inlineStr">
        <is>
          <t>Fitness / Wellness</t>
        </is>
      </c>
      <c r="C13" s="10" t="inlineStr">
        <is>
          <t>2L - 5L</t>
        </is>
      </c>
      <c r="D13" s="10" t="inlineStr">
        <is>
          <t>5L - 10L</t>
        </is>
      </c>
      <c r="E13" s="10" t="inlineStr">
        <is>
          <t>10L - 20L</t>
        </is>
      </c>
    </row>
    <row r="14">
      <c r="A14" s="7" t="n">
        <v>11</v>
      </c>
      <c r="B14" s="8" t="inlineStr">
        <is>
          <t>Chat / Messaging</t>
        </is>
      </c>
      <c r="C14" s="7" t="inlineStr">
        <is>
          <t>3L - 6L</t>
        </is>
      </c>
      <c r="D14" s="7" t="inlineStr">
        <is>
          <t>6L - 15L</t>
        </is>
      </c>
      <c r="E14" s="7" t="inlineStr">
        <is>
          <t>15L - 30L</t>
        </is>
      </c>
    </row>
    <row r="15">
      <c r="A15" s="10" t="n">
        <v>12</v>
      </c>
      <c r="B15" s="11" t="inlineStr">
        <is>
          <t>Streaming (Audio/Video)</t>
        </is>
      </c>
      <c r="C15" s="10" t="inlineStr">
        <is>
          <t>5L - 10L</t>
        </is>
      </c>
      <c r="D15" s="10" t="inlineStr">
        <is>
          <t>10L - 20L</t>
        </is>
      </c>
      <c r="E15" s="10" t="inlineStr">
        <is>
          <t>20L - 50L</t>
        </is>
      </c>
    </row>
    <row r="16">
      <c r="A16" s="7" t="n">
        <v>13</v>
      </c>
      <c r="B16" s="8" t="inlineStr">
        <is>
          <t>IoT / Smart Home</t>
        </is>
      </c>
      <c r="C16" s="7" t="inlineStr">
        <is>
          <t>4L - 8L</t>
        </is>
      </c>
      <c r="D16" s="7" t="inlineStr">
        <is>
          <t>8L - 18L</t>
        </is>
      </c>
      <c r="E16" s="7" t="inlineStr">
        <is>
          <t>18L - 35L</t>
        </is>
      </c>
    </row>
    <row r="17">
      <c r="A17" s="10" t="n">
        <v>14</v>
      </c>
      <c r="B17" s="11" t="inlineStr">
        <is>
          <t>AR / VR</t>
        </is>
      </c>
      <c r="C17" s="10" t="inlineStr">
        <is>
          <t>5L - 10L</t>
        </is>
      </c>
      <c r="D17" s="10" t="inlineStr">
        <is>
          <t>10L - 25L</t>
        </is>
      </c>
      <c r="E17" s="10" t="inlineStr">
        <is>
          <t>25L - 60L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2026-03-03T07:49:54Z</dcterms:created>
  <dcterms:modified xmlns:dcterms="http://purl.org/dc/terms/" xmlns:xsi="http://www.w3.org/2001/XMLSchema-instance" xsi:type="dcterms:W3CDTF">2026-03-03T07:49:54Z</dcterms:modified>
</cp:coreProperties>
</file>