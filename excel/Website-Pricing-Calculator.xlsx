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alculator" sheetId="1" state="visible" r:id="rId1"/>
    <sheet xmlns:r="http://schemas.openxmlformats.org/officeDocument/2006/relationships" name="Maintenance Plans" sheetId="2" state="visible" r:id="rId2"/>
    <sheet xmlns:r="http://schemas.openxmlformats.org/officeDocument/2006/relationships" name="Hourly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sz val="10"/>
    </font>
    <font>
      <name val="Calibri"/>
      <b val="1"/>
      <color rgb="001B2A4A"/>
      <sz val="12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0" fillId="5" borderId="1" pivotButton="0" quotePrefix="0" xfId="0"/>
    <xf numFmtId="3" fontId="6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1" fillId="6" borderId="1" pivotButton="0" quotePrefix="0" xfId="0"/>
    <xf numFmtId="0" fontId="0" fillId="6" borderId="1" pivotButton="0" quotePrefix="0" xfId="0"/>
    <xf numFmtId="3" fontId="1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164" fontId="5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WEBSITE PROJECT — PRICING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Client Name:</t>
        </is>
      </c>
    </row>
    <row r="3">
      <c r="A3" s="3" t="inlineStr">
        <is>
          <t>Project Name:</t>
        </is>
      </c>
    </row>
    <row r="4">
      <c r="A4" s="3" t="inlineStr">
        <is>
          <t>Date:</t>
        </is>
      </c>
    </row>
    <row r="6">
      <c r="A6" s="4" t="inlineStr">
        <is>
          <t>#</t>
        </is>
      </c>
      <c r="B6" s="4" t="inlineStr">
        <is>
          <t>Item / Parameter</t>
        </is>
      </c>
      <c r="C6" s="4" t="inlineStr">
        <is>
          <t>Category</t>
        </is>
      </c>
      <c r="D6" s="4" t="inlineStr">
        <is>
          <t>Unit Cost (₹)</t>
        </is>
      </c>
      <c r="E6" s="4" t="inlineStr">
        <is>
          <t>Quantity</t>
        </is>
      </c>
      <c r="F6" s="4" t="inlineStr">
        <is>
          <t>Total (₹)</t>
        </is>
      </c>
      <c r="G6" s="4" t="inlineStr">
        <is>
          <t>Required?</t>
        </is>
      </c>
      <c r="H6" s="4" t="inlineStr">
        <is>
          <t>Notes</t>
        </is>
      </c>
    </row>
    <row r="7">
      <c r="A7" s="5" t="inlineStr">
        <is>
          <t>DOMAIN &amp; SSL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n">
        <v>1</v>
      </c>
      <c r="B8" s="8" t="inlineStr">
        <is>
          <t>Domain Registration (.com)</t>
        </is>
      </c>
      <c r="C8" s="8" t="inlineStr">
        <is>
          <t>Domain</t>
        </is>
      </c>
      <c r="D8" s="9" t="n">
        <v>800</v>
      </c>
      <c r="E8" s="7" t="n">
        <v>1</v>
      </c>
      <c r="F8" s="9">
        <f>D8*E8</f>
        <v/>
      </c>
      <c r="G8" s="7" t="inlineStr">
        <is>
          <t>Yes</t>
        </is>
      </c>
      <c r="H8" s="8" t="n"/>
    </row>
    <row r="9">
      <c r="A9" s="10" t="n">
        <v>2</v>
      </c>
      <c r="B9" s="11" t="inlineStr">
        <is>
          <t>Domain Privacy Protection</t>
        </is>
      </c>
      <c r="C9" s="11" t="inlineStr">
        <is>
          <t>Domain</t>
        </is>
      </c>
      <c r="D9" s="12" t="n">
        <v>500</v>
      </c>
      <c r="E9" s="10" t="n">
        <v>1</v>
      </c>
      <c r="F9" s="12">
        <f>D9*E9</f>
        <v/>
      </c>
      <c r="G9" s="10" t="inlineStr">
        <is>
          <t>Yes</t>
        </is>
      </c>
      <c r="H9" s="11" t="n"/>
    </row>
    <row r="10">
      <c r="A10" s="7" t="n">
        <v>3</v>
      </c>
      <c r="B10" s="8" t="inlineStr">
        <is>
          <t>SSL Certificate (Basic/Free)</t>
        </is>
      </c>
      <c r="C10" s="8" t="inlineStr">
        <is>
          <t>SSL</t>
        </is>
      </c>
      <c r="D10" s="9" t="n">
        <v>0</v>
      </c>
      <c r="E10" s="7" t="n">
        <v>1</v>
      </c>
      <c r="F10" s="9">
        <f>D10*E10</f>
        <v/>
      </c>
      <c r="G10" s="7" t="inlineStr">
        <is>
          <t>Yes</t>
        </is>
      </c>
      <c r="H10" s="8" t="n"/>
    </row>
    <row r="11">
      <c r="A11" s="10" t="n">
        <v>4</v>
      </c>
      <c r="B11" s="11" t="inlineStr">
        <is>
          <t>SSL Certificate (Wildcard/Premium)</t>
        </is>
      </c>
      <c r="C11" s="11" t="inlineStr">
        <is>
          <t>SSL</t>
        </is>
      </c>
      <c r="D11" s="12" t="n">
        <v>5000</v>
      </c>
      <c r="E11" s="10" t="n">
        <v>1</v>
      </c>
      <c r="F11" s="12">
        <f>D11*E11</f>
        <v/>
      </c>
      <c r="G11" s="10" t="inlineStr">
        <is>
          <t>Yes</t>
        </is>
      </c>
      <c r="H11" s="11" t="n"/>
    </row>
    <row r="12">
      <c r="A12" s="5" t="inlineStr">
        <is>
          <t>HOSTING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n">
        <v>5</v>
      </c>
      <c r="B13" s="8" t="inlineStr">
        <is>
          <t>Shared Hosting (Annual)</t>
        </is>
      </c>
      <c r="C13" s="8" t="inlineStr">
        <is>
          <t>Hosting</t>
        </is>
      </c>
      <c r="D13" s="9" t="n">
        <v>3000</v>
      </c>
      <c r="E13" s="7" t="n">
        <v>1</v>
      </c>
      <c r="F13" s="9">
        <f>D13*E13</f>
        <v/>
      </c>
      <c r="G13" s="7" t="inlineStr">
        <is>
          <t>Yes</t>
        </is>
      </c>
      <c r="H13" s="8" t="n"/>
    </row>
    <row r="14">
      <c r="A14" s="10" t="n">
        <v>6</v>
      </c>
      <c r="B14" s="11" t="inlineStr">
        <is>
          <t>VPS Hosting (Annual)</t>
        </is>
      </c>
      <c r="C14" s="11" t="inlineStr">
        <is>
          <t>Hosting</t>
        </is>
      </c>
      <c r="D14" s="12" t="n">
        <v>12000</v>
      </c>
      <c r="E14" s="10" t="n">
        <v>1</v>
      </c>
      <c r="F14" s="12">
        <f>D14*E14</f>
        <v/>
      </c>
      <c r="G14" s="10" t="inlineStr">
        <is>
          <t>Yes</t>
        </is>
      </c>
      <c r="H14" s="11" t="n"/>
    </row>
    <row r="15">
      <c r="A15" s="7" t="n">
        <v>7</v>
      </c>
      <c r="B15" s="8" t="inlineStr">
        <is>
          <t>Cloud Hosting (Annual — AWS/GCP)</t>
        </is>
      </c>
      <c r="C15" s="8" t="inlineStr">
        <is>
          <t>Hosting</t>
        </is>
      </c>
      <c r="D15" s="9" t="n">
        <v>24000</v>
      </c>
      <c r="E15" s="7" t="n">
        <v>1</v>
      </c>
      <c r="F15" s="9">
        <f>D15*E15</f>
        <v/>
      </c>
      <c r="G15" s="7" t="inlineStr">
        <is>
          <t>Yes</t>
        </is>
      </c>
      <c r="H15" s="8" t="n"/>
    </row>
    <row r="16">
      <c r="A16" s="10" t="n">
        <v>8</v>
      </c>
      <c r="B16" s="11" t="inlineStr">
        <is>
          <t>Dedicated Server (Annual)</t>
        </is>
      </c>
      <c r="C16" s="11" t="inlineStr">
        <is>
          <t>Hosting</t>
        </is>
      </c>
      <c r="D16" s="12" t="n">
        <v>60000</v>
      </c>
      <c r="E16" s="10" t="n">
        <v>1</v>
      </c>
      <c r="F16" s="12">
        <f>D16*E16</f>
        <v/>
      </c>
      <c r="G16" s="10" t="inlineStr">
        <is>
          <t>Yes</t>
        </is>
      </c>
      <c r="H16" s="11" t="n"/>
    </row>
    <row r="17">
      <c r="A17" s="7" t="n">
        <v>9</v>
      </c>
      <c r="B17" s="8" t="inlineStr">
        <is>
          <t>Email Hosting (Annual)</t>
        </is>
      </c>
      <c r="C17" s="8" t="inlineStr">
        <is>
          <t>Hosting</t>
        </is>
      </c>
      <c r="D17" s="9" t="n">
        <v>3600</v>
      </c>
      <c r="E17" s="7" t="n">
        <v>1</v>
      </c>
      <c r="F17" s="9">
        <f>D17*E17</f>
        <v/>
      </c>
      <c r="G17" s="7" t="inlineStr">
        <is>
          <t>Yes</t>
        </is>
      </c>
      <c r="H17" s="8" t="n"/>
    </row>
    <row r="18">
      <c r="A18" s="5" t="inlineStr">
        <is>
          <t>DATABASE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10" t="n">
        <v>10</v>
      </c>
      <c r="B19" s="11" t="inlineStr">
        <is>
          <t>MySQL / PostgreSQL Setup</t>
        </is>
      </c>
      <c r="C19" s="11" t="inlineStr">
        <is>
          <t>Database</t>
        </is>
      </c>
      <c r="D19" s="12" t="n">
        <v>3000</v>
      </c>
      <c r="E19" s="10" t="n">
        <v>1</v>
      </c>
      <c r="F19" s="12">
        <f>D19*E19</f>
        <v/>
      </c>
      <c r="G19" s="10" t="inlineStr">
        <is>
          <t>Yes</t>
        </is>
      </c>
      <c r="H19" s="11" t="n"/>
    </row>
    <row r="20">
      <c r="A20" s="7" t="n">
        <v>11</v>
      </c>
      <c r="B20" s="8" t="inlineStr">
        <is>
          <t>MongoDB Setup</t>
        </is>
      </c>
      <c r="C20" s="8" t="inlineStr">
        <is>
          <t>Database</t>
        </is>
      </c>
      <c r="D20" s="9" t="n">
        <v>5000</v>
      </c>
      <c r="E20" s="7" t="n">
        <v>1</v>
      </c>
      <c r="F20" s="9">
        <f>D20*E20</f>
        <v/>
      </c>
      <c r="G20" s="7" t="inlineStr">
        <is>
          <t>Yes</t>
        </is>
      </c>
      <c r="H20" s="8" t="n"/>
    </row>
    <row r="21">
      <c r="A21" s="10" t="n">
        <v>12</v>
      </c>
      <c r="B21" s="11" t="inlineStr">
        <is>
          <t>Firebase Setup</t>
        </is>
      </c>
      <c r="C21" s="11" t="inlineStr">
        <is>
          <t>Database</t>
        </is>
      </c>
      <c r="D21" s="12" t="n">
        <v>3000</v>
      </c>
      <c r="E21" s="10" t="n">
        <v>1</v>
      </c>
      <c r="F21" s="12">
        <f>D21*E21</f>
        <v/>
      </c>
      <c r="G21" s="10" t="inlineStr">
        <is>
          <t>Yes</t>
        </is>
      </c>
      <c r="H21" s="11" t="n"/>
    </row>
    <row r="22">
      <c r="A22" s="7" t="n">
        <v>13</v>
      </c>
      <c r="B22" s="8" t="inlineStr">
        <is>
          <t>Database Migration</t>
        </is>
      </c>
      <c r="C22" s="8" t="inlineStr">
        <is>
          <t>Database</t>
        </is>
      </c>
      <c r="D22" s="9" t="n">
        <v>8000</v>
      </c>
      <c r="E22" s="7" t="n">
        <v>1</v>
      </c>
      <c r="F22" s="9">
        <f>D22*E22</f>
        <v/>
      </c>
      <c r="G22" s="7" t="inlineStr">
        <is>
          <t>Yes</t>
        </is>
      </c>
      <c r="H22" s="8" t="n"/>
    </row>
    <row r="23">
      <c r="A23" s="5" t="inlineStr">
        <is>
          <t>DESIGN &amp; UI/UX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10" t="n">
        <v>14</v>
      </c>
      <c r="B24" s="11" t="inlineStr">
        <is>
          <t>Wireframes (per page)</t>
        </is>
      </c>
      <c r="C24" s="11" t="inlineStr">
        <is>
          <t>Design</t>
        </is>
      </c>
      <c r="D24" s="12" t="n">
        <v>2000</v>
      </c>
      <c r="E24" s="10" t="n">
        <v>1</v>
      </c>
      <c r="F24" s="12">
        <f>D24*E24</f>
        <v/>
      </c>
      <c r="G24" s="10" t="inlineStr">
        <is>
          <t>Yes</t>
        </is>
      </c>
      <c r="H24" s="11" t="n"/>
    </row>
    <row r="25">
      <c r="A25" s="7" t="n">
        <v>15</v>
      </c>
      <c r="B25" s="8" t="inlineStr">
        <is>
          <t>High-Fidelity Mockup (per page)</t>
        </is>
      </c>
      <c r="C25" s="8" t="inlineStr">
        <is>
          <t>Design</t>
        </is>
      </c>
      <c r="D25" s="9" t="n">
        <v>4000</v>
      </c>
      <c r="E25" s="7" t="n">
        <v>1</v>
      </c>
      <c r="F25" s="9">
        <f>D25*E25</f>
        <v/>
      </c>
      <c r="G25" s="7" t="inlineStr">
        <is>
          <t>Yes</t>
        </is>
      </c>
      <c r="H25" s="8" t="n"/>
    </row>
    <row r="26">
      <c r="A26" s="10" t="n">
        <v>16</v>
      </c>
      <c r="B26" s="11" t="inlineStr">
        <is>
          <t>Logo Design</t>
        </is>
      </c>
      <c r="C26" s="11" t="inlineStr">
        <is>
          <t>Design</t>
        </is>
      </c>
      <c r="D26" s="12" t="n">
        <v>5000</v>
      </c>
      <c r="E26" s="10" t="n">
        <v>1</v>
      </c>
      <c r="F26" s="12">
        <f>D26*E26</f>
        <v/>
      </c>
      <c r="G26" s="10" t="inlineStr">
        <is>
          <t>Yes</t>
        </is>
      </c>
      <c r="H26" s="11" t="n"/>
    </row>
    <row r="27">
      <c r="A27" s="7" t="n">
        <v>17</v>
      </c>
      <c r="B27" s="8" t="inlineStr">
        <is>
          <t>Brand Kit (Logo + Colors + Typography)</t>
        </is>
      </c>
      <c r="C27" s="8" t="inlineStr">
        <is>
          <t>Design</t>
        </is>
      </c>
      <c r="D27" s="9" t="n">
        <v>15000</v>
      </c>
      <c r="E27" s="7" t="n">
        <v>1</v>
      </c>
      <c r="F27" s="9">
        <f>D27*E27</f>
        <v/>
      </c>
      <c r="G27" s="7" t="inlineStr">
        <is>
          <t>Yes</t>
        </is>
      </c>
      <c r="H27" s="8" t="n"/>
    </row>
    <row r="28">
      <c r="A28" s="10" t="n">
        <v>18</v>
      </c>
      <c r="B28" s="11" t="inlineStr">
        <is>
          <t>Custom Illustrations (per set)</t>
        </is>
      </c>
      <c r="C28" s="11" t="inlineStr">
        <is>
          <t>Design</t>
        </is>
      </c>
      <c r="D28" s="12" t="n">
        <v>8000</v>
      </c>
      <c r="E28" s="10" t="n">
        <v>1</v>
      </c>
      <c r="F28" s="12">
        <f>D28*E28</f>
        <v/>
      </c>
      <c r="G28" s="10" t="inlineStr">
        <is>
          <t>Yes</t>
        </is>
      </c>
      <c r="H28" s="11" t="n"/>
    </row>
    <row r="29">
      <c r="A29" s="7" t="n">
        <v>19</v>
      </c>
      <c r="B29" s="8" t="inlineStr">
        <is>
          <t>Design Revisions (per round)</t>
        </is>
      </c>
      <c r="C29" s="8" t="inlineStr">
        <is>
          <t>Design</t>
        </is>
      </c>
      <c r="D29" s="9" t="n">
        <v>2000</v>
      </c>
      <c r="E29" s="7" t="n">
        <v>1</v>
      </c>
      <c r="F29" s="9">
        <f>D29*E29</f>
        <v/>
      </c>
      <c r="G29" s="7" t="inlineStr">
        <is>
          <t>Yes</t>
        </is>
      </c>
      <c r="H29" s="8" t="n"/>
    </row>
    <row r="30">
      <c r="A30" s="5" t="inlineStr">
        <is>
          <t>PAGE DEVELOPMENT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10" t="n">
        <v>20</v>
      </c>
      <c r="B31" s="11" t="inlineStr">
        <is>
          <t>Home Page</t>
        </is>
      </c>
      <c r="C31" s="11" t="inlineStr">
        <is>
          <t>Pages</t>
        </is>
      </c>
      <c r="D31" s="12" t="n">
        <v>8000</v>
      </c>
      <c r="E31" s="10" t="n">
        <v>1</v>
      </c>
      <c r="F31" s="12">
        <f>D31*E31</f>
        <v/>
      </c>
      <c r="G31" s="10" t="inlineStr">
        <is>
          <t>Yes</t>
        </is>
      </c>
      <c r="H31" s="11" t="n"/>
    </row>
    <row r="32">
      <c r="A32" s="7" t="n">
        <v>21</v>
      </c>
      <c r="B32" s="8" t="inlineStr">
        <is>
          <t>About Page</t>
        </is>
      </c>
      <c r="C32" s="8" t="inlineStr">
        <is>
          <t>Pages</t>
        </is>
      </c>
      <c r="D32" s="9" t="n">
        <v>4000</v>
      </c>
      <c r="E32" s="7" t="n">
        <v>1</v>
      </c>
      <c r="F32" s="9">
        <f>D32*E32</f>
        <v/>
      </c>
      <c r="G32" s="7" t="inlineStr">
        <is>
          <t>Yes</t>
        </is>
      </c>
      <c r="H32" s="8" t="n"/>
    </row>
    <row r="33">
      <c r="A33" s="10" t="n">
        <v>22</v>
      </c>
      <c r="B33" s="11" t="inlineStr">
        <is>
          <t>Services Page</t>
        </is>
      </c>
      <c r="C33" s="11" t="inlineStr">
        <is>
          <t>Pages</t>
        </is>
      </c>
      <c r="D33" s="12" t="n">
        <v>5000</v>
      </c>
      <c r="E33" s="10" t="n">
        <v>1</v>
      </c>
      <c r="F33" s="12">
        <f>D33*E33</f>
        <v/>
      </c>
      <c r="G33" s="10" t="inlineStr">
        <is>
          <t>Yes</t>
        </is>
      </c>
      <c r="H33" s="11" t="n"/>
    </row>
    <row r="34">
      <c r="A34" s="7" t="n">
        <v>23</v>
      </c>
      <c r="B34" s="8" t="inlineStr">
        <is>
          <t>Contact Page (with form)</t>
        </is>
      </c>
      <c r="C34" s="8" t="inlineStr">
        <is>
          <t>Pages</t>
        </is>
      </c>
      <c r="D34" s="9" t="n">
        <v>4000</v>
      </c>
      <c r="E34" s="7" t="n">
        <v>1</v>
      </c>
      <c r="F34" s="9">
        <f>D34*E34</f>
        <v/>
      </c>
      <c r="G34" s="7" t="inlineStr">
        <is>
          <t>Yes</t>
        </is>
      </c>
      <c r="H34" s="8" t="n"/>
    </row>
    <row r="35">
      <c r="A35" s="10" t="n">
        <v>24</v>
      </c>
      <c r="B35" s="11" t="inlineStr">
        <is>
          <t>Blog Listing Page</t>
        </is>
      </c>
      <c r="C35" s="11" t="inlineStr">
        <is>
          <t>Pages</t>
        </is>
      </c>
      <c r="D35" s="12" t="n">
        <v>6000</v>
      </c>
      <c r="E35" s="10" t="n">
        <v>1</v>
      </c>
      <c r="F35" s="12">
        <f>D35*E35</f>
        <v/>
      </c>
      <c r="G35" s="10" t="inlineStr">
        <is>
          <t>Yes</t>
        </is>
      </c>
      <c r="H35" s="11" t="n"/>
    </row>
    <row r="36">
      <c r="A36" s="7" t="n">
        <v>25</v>
      </c>
      <c r="B36" s="8" t="inlineStr">
        <is>
          <t>Blog Detail Page</t>
        </is>
      </c>
      <c r="C36" s="8" t="inlineStr">
        <is>
          <t>Pages</t>
        </is>
      </c>
      <c r="D36" s="9" t="n">
        <v>5000</v>
      </c>
      <c r="E36" s="7" t="n">
        <v>1</v>
      </c>
      <c r="F36" s="9">
        <f>D36*E36</f>
        <v/>
      </c>
      <c r="G36" s="7" t="inlineStr">
        <is>
          <t>Yes</t>
        </is>
      </c>
      <c r="H36" s="8" t="n"/>
    </row>
    <row r="37">
      <c r="A37" s="10" t="n">
        <v>26</v>
      </c>
      <c r="B37" s="11" t="inlineStr">
        <is>
          <t>Portfolio / Gallery Page</t>
        </is>
      </c>
      <c r="C37" s="11" t="inlineStr">
        <is>
          <t>Pages</t>
        </is>
      </c>
      <c r="D37" s="12" t="n">
        <v>6000</v>
      </c>
      <c r="E37" s="10" t="n">
        <v>1</v>
      </c>
      <c r="F37" s="12">
        <f>D37*E37</f>
        <v/>
      </c>
      <c r="G37" s="10" t="inlineStr">
        <is>
          <t>Yes</t>
        </is>
      </c>
      <c r="H37" s="11" t="n"/>
    </row>
    <row r="38">
      <c r="A38" s="7" t="n">
        <v>27</v>
      </c>
      <c r="B38" s="8" t="inlineStr">
        <is>
          <t>Team / About Team Page</t>
        </is>
      </c>
      <c r="C38" s="8" t="inlineStr">
        <is>
          <t>Pages</t>
        </is>
      </c>
      <c r="D38" s="9" t="n">
        <v>4000</v>
      </c>
      <c r="E38" s="7" t="n">
        <v>1</v>
      </c>
      <c r="F38" s="9">
        <f>D38*E38</f>
        <v/>
      </c>
      <c r="G38" s="7" t="inlineStr">
        <is>
          <t>Yes</t>
        </is>
      </c>
      <c r="H38" s="8" t="n"/>
    </row>
    <row r="39">
      <c r="A39" s="10" t="n">
        <v>28</v>
      </c>
      <c r="B39" s="11" t="inlineStr">
        <is>
          <t>FAQ Page</t>
        </is>
      </c>
      <c r="C39" s="11" t="inlineStr">
        <is>
          <t>Pages</t>
        </is>
      </c>
      <c r="D39" s="12" t="n">
        <v>3000</v>
      </c>
      <c r="E39" s="10" t="n">
        <v>1</v>
      </c>
      <c r="F39" s="12">
        <f>D39*E39</f>
        <v/>
      </c>
      <c r="G39" s="10" t="inlineStr">
        <is>
          <t>Yes</t>
        </is>
      </c>
      <c r="H39" s="11" t="n"/>
    </row>
    <row r="40">
      <c r="A40" s="7" t="n">
        <v>29</v>
      </c>
      <c r="B40" s="8" t="inlineStr">
        <is>
          <t>Testimonials Page</t>
        </is>
      </c>
      <c r="C40" s="8" t="inlineStr">
        <is>
          <t>Pages</t>
        </is>
      </c>
      <c r="D40" s="9" t="n">
        <v>3000</v>
      </c>
      <c r="E40" s="7" t="n">
        <v>1</v>
      </c>
      <c r="F40" s="9">
        <f>D40*E40</f>
        <v/>
      </c>
      <c r="G40" s="7" t="inlineStr">
        <is>
          <t>Yes</t>
        </is>
      </c>
      <c r="H40" s="8" t="n"/>
    </row>
    <row r="41">
      <c r="A41" s="10" t="n">
        <v>30</v>
      </c>
      <c r="B41" s="11" t="inlineStr">
        <is>
          <t>Terms &amp; Privacy Pages</t>
        </is>
      </c>
      <c r="C41" s="11" t="inlineStr">
        <is>
          <t>Pages</t>
        </is>
      </c>
      <c r="D41" s="12" t="n">
        <v>2000</v>
      </c>
      <c r="E41" s="10" t="n">
        <v>2</v>
      </c>
      <c r="F41" s="12">
        <f>D41*E41</f>
        <v/>
      </c>
      <c r="G41" s="10" t="inlineStr">
        <is>
          <t>Yes</t>
        </is>
      </c>
      <c r="H41" s="11" t="n"/>
    </row>
    <row r="42">
      <c r="A42" s="7" t="n">
        <v>31</v>
      </c>
      <c r="B42" s="8" t="inlineStr">
        <is>
          <t>Custom Landing Page</t>
        </is>
      </c>
      <c r="C42" s="8" t="inlineStr">
        <is>
          <t>Pages</t>
        </is>
      </c>
      <c r="D42" s="9" t="n">
        <v>8000</v>
      </c>
      <c r="E42" s="7" t="n">
        <v>1</v>
      </c>
      <c r="F42" s="9">
        <f>D42*E42</f>
        <v/>
      </c>
      <c r="G42" s="7" t="inlineStr">
        <is>
          <t>Yes</t>
        </is>
      </c>
      <c r="H42" s="8" t="n"/>
    </row>
    <row r="43">
      <c r="A43" s="10" t="n">
        <v>32</v>
      </c>
      <c r="B43" s="11" t="inlineStr">
        <is>
          <t>Login / Register Pages</t>
        </is>
      </c>
      <c r="C43" s="11" t="inlineStr">
        <is>
          <t>Pages</t>
        </is>
      </c>
      <c r="D43" s="12" t="n">
        <v>8000</v>
      </c>
      <c r="E43" s="10" t="n">
        <v>1</v>
      </c>
      <c r="F43" s="12">
        <f>D43*E43</f>
        <v/>
      </c>
      <c r="G43" s="10" t="inlineStr">
        <is>
          <t>Yes</t>
        </is>
      </c>
      <c r="H43" s="11" t="n"/>
    </row>
    <row r="44">
      <c r="A44" s="7" t="n">
        <v>33</v>
      </c>
      <c r="B44" s="8" t="inlineStr">
        <is>
          <t>User Dashboard</t>
        </is>
      </c>
      <c r="C44" s="8" t="inlineStr">
        <is>
          <t>Pages</t>
        </is>
      </c>
      <c r="D44" s="9" t="n">
        <v>12000</v>
      </c>
      <c r="E44" s="7" t="n">
        <v>1</v>
      </c>
      <c r="F44" s="9">
        <f>D44*E44</f>
        <v/>
      </c>
      <c r="G44" s="7" t="inlineStr">
        <is>
          <t>Yes</t>
        </is>
      </c>
      <c r="H44" s="8" t="n"/>
    </row>
    <row r="45">
      <c r="A45" s="10" t="n">
        <v>34</v>
      </c>
      <c r="B45" s="11" t="inlineStr">
        <is>
          <t>Admin Panel</t>
        </is>
      </c>
      <c r="C45" s="11" t="inlineStr">
        <is>
          <t>Pages</t>
        </is>
      </c>
      <c r="D45" s="12" t="n">
        <v>25000</v>
      </c>
      <c r="E45" s="10" t="n">
        <v>1</v>
      </c>
      <c r="F45" s="12">
        <f>D45*E45</f>
        <v/>
      </c>
      <c r="G45" s="10" t="inlineStr">
        <is>
          <t>Yes</t>
        </is>
      </c>
      <c r="H45" s="11" t="n"/>
    </row>
    <row r="46">
      <c r="A46" s="7" t="n">
        <v>35</v>
      </c>
      <c r="B46" s="8" t="inlineStr">
        <is>
          <t>Search Results Page</t>
        </is>
      </c>
      <c r="C46" s="8" t="inlineStr">
        <is>
          <t>Pages</t>
        </is>
      </c>
      <c r="D46" s="9" t="n">
        <v>5000</v>
      </c>
      <c r="E46" s="7" t="n">
        <v>1</v>
      </c>
      <c r="F46" s="9">
        <f>D46*E46</f>
        <v/>
      </c>
      <c r="G46" s="7" t="inlineStr">
        <is>
          <t>Yes</t>
        </is>
      </c>
      <c r="H46" s="8" t="n"/>
    </row>
    <row r="47">
      <c r="A47" s="10" t="n">
        <v>36</v>
      </c>
      <c r="B47" s="11" t="inlineStr">
        <is>
          <t>404 Error Page</t>
        </is>
      </c>
      <c r="C47" s="11" t="inlineStr">
        <is>
          <t>Pages</t>
        </is>
      </c>
      <c r="D47" s="12" t="n">
        <v>1500</v>
      </c>
      <c r="E47" s="10" t="n">
        <v>1</v>
      </c>
      <c r="F47" s="12">
        <f>D47*E47</f>
        <v/>
      </c>
      <c r="G47" s="10" t="inlineStr">
        <is>
          <t>Yes</t>
        </is>
      </c>
      <c r="H47" s="11" t="n"/>
    </row>
    <row r="48">
      <c r="A48" s="5" t="inlineStr">
        <is>
          <t>FEATURES &amp; FUNCTIONALITY</t>
        </is>
      </c>
      <c r="B48" s="6" t="n"/>
      <c r="C48" s="6" t="n"/>
      <c r="D48" s="6" t="n"/>
      <c r="E48" s="6" t="n"/>
      <c r="F48" s="6" t="n"/>
      <c r="G48" s="6" t="n"/>
      <c r="H48" s="6" t="n"/>
    </row>
    <row r="49">
      <c r="A49" s="7" t="n">
        <v>37</v>
      </c>
      <c r="B49" s="8" t="inlineStr">
        <is>
          <t>Responsive Design (Mobile + Tablet)</t>
        </is>
      </c>
      <c r="C49" s="8" t="inlineStr">
        <is>
          <t>Feature</t>
        </is>
      </c>
      <c r="D49" s="9" t="n">
        <v>10000</v>
      </c>
      <c r="E49" s="7" t="n">
        <v>1</v>
      </c>
      <c r="F49" s="9">
        <f>D49*E49</f>
        <v/>
      </c>
      <c r="G49" s="7" t="inlineStr">
        <is>
          <t>Yes</t>
        </is>
      </c>
      <c r="H49" s="8" t="n"/>
    </row>
    <row r="50">
      <c r="A50" s="10" t="n">
        <v>38</v>
      </c>
      <c r="B50" s="11" t="inlineStr">
        <is>
          <t>Contact Form with Email</t>
        </is>
      </c>
      <c r="C50" s="11" t="inlineStr">
        <is>
          <t>Feature</t>
        </is>
      </c>
      <c r="D50" s="12" t="n">
        <v>3000</v>
      </c>
      <c r="E50" s="10" t="n">
        <v>1</v>
      </c>
      <c r="F50" s="12">
        <f>D50*E50</f>
        <v/>
      </c>
      <c r="G50" s="10" t="inlineStr">
        <is>
          <t>Yes</t>
        </is>
      </c>
      <c r="H50" s="11" t="n"/>
    </row>
    <row r="51">
      <c r="A51" s="7" t="n">
        <v>39</v>
      </c>
      <c r="B51" s="8" t="inlineStr">
        <is>
          <t>Multi-step Form / Wizard</t>
        </is>
      </c>
      <c r="C51" s="8" t="inlineStr">
        <is>
          <t>Feature</t>
        </is>
      </c>
      <c r="D51" s="9" t="n">
        <v>8000</v>
      </c>
      <c r="E51" s="7" t="n">
        <v>1</v>
      </c>
      <c r="F51" s="9">
        <f>D51*E51</f>
        <v/>
      </c>
      <c r="G51" s="7" t="inlineStr">
        <is>
          <t>Yes</t>
        </is>
      </c>
      <c r="H51" s="8" t="n"/>
    </row>
    <row r="52">
      <c r="A52" s="10" t="n">
        <v>40</v>
      </c>
      <c r="B52" s="11" t="inlineStr">
        <is>
          <t>Newsletter Subscription</t>
        </is>
      </c>
      <c r="C52" s="11" t="inlineStr">
        <is>
          <t>Feature</t>
        </is>
      </c>
      <c r="D52" s="12" t="n">
        <v>3000</v>
      </c>
      <c r="E52" s="10" t="n">
        <v>1</v>
      </c>
      <c r="F52" s="12">
        <f>D52*E52</f>
        <v/>
      </c>
      <c r="G52" s="10" t="inlineStr">
        <is>
          <t>Yes</t>
        </is>
      </c>
      <c r="H52" s="11" t="n"/>
    </row>
    <row r="53">
      <c r="A53" s="7" t="n">
        <v>41</v>
      </c>
      <c r="B53" s="8" t="inlineStr">
        <is>
          <t>Live Chat Integration</t>
        </is>
      </c>
      <c r="C53" s="8" t="inlineStr">
        <is>
          <t>Feature</t>
        </is>
      </c>
      <c r="D53" s="9" t="n">
        <v>5000</v>
      </c>
      <c r="E53" s="7" t="n">
        <v>1</v>
      </c>
      <c r="F53" s="9">
        <f>D53*E53</f>
        <v/>
      </c>
      <c r="G53" s="7" t="inlineStr">
        <is>
          <t>Yes</t>
        </is>
      </c>
      <c r="H53" s="8" t="n"/>
    </row>
    <row r="54">
      <c r="A54" s="10" t="n">
        <v>42</v>
      </c>
      <c r="B54" s="11" t="inlineStr">
        <is>
          <t>Chatbot Integration (AI)</t>
        </is>
      </c>
      <c r="C54" s="11" t="inlineStr">
        <is>
          <t>Feature</t>
        </is>
      </c>
      <c r="D54" s="12" t="n">
        <v>15000</v>
      </c>
      <c r="E54" s="10" t="n">
        <v>1</v>
      </c>
      <c r="F54" s="12">
        <f>D54*E54</f>
        <v/>
      </c>
      <c r="G54" s="10" t="inlineStr">
        <is>
          <t>Yes</t>
        </is>
      </c>
      <c r="H54" s="11" t="n"/>
    </row>
    <row r="55">
      <c r="A55" s="7" t="n">
        <v>43</v>
      </c>
      <c r="B55" s="8" t="inlineStr">
        <is>
          <t>User Authentication (Email/Pass)</t>
        </is>
      </c>
      <c r="C55" s="8" t="inlineStr">
        <is>
          <t>Feature</t>
        </is>
      </c>
      <c r="D55" s="9" t="n">
        <v>8000</v>
      </c>
      <c r="E55" s="7" t="n">
        <v>1</v>
      </c>
      <c r="F55" s="9">
        <f>D55*E55</f>
        <v/>
      </c>
      <c r="G55" s="7" t="inlineStr">
        <is>
          <t>Yes</t>
        </is>
      </c>
      <c r="H55" s="8" t="n"/>
    </row>
    <row r="56">
      <c r="A56" s="10" t="n">
        <v>44</v>
      </c>
      <c r="B56" s="11" t="inlineStr">
        <is>
          <t>Social Login (Google/Facebook)</t>
        </is>
      </c>
      <c r="C56" s="11" t="inlineStr">
        <is>
          <t>Feature</t>
        </is>
      </c>
      <c r="D56" s="12" t="n">
        <v>5000</v>
      </c>
      <c r="E56" s="10" t="n">
        <v>1</v>
      </c>
      <c r="F56" s="12">
        <f>D56*E56</f>
        <v/>
      </c>
      <c r="G56" s="10" t="inlineStr">
        <is>
          <t>Yes</t>
        </is>
      </c>
      <c r="H56" s="11" t="n"/>
    </row>
    <row r="57">
      <c r="A57" s="7" t="n">
        <v>45</v>
      </c>
      <c r="B57" s="8" t="inlineStr">
        <is>
          <t>Booking / Appointment System</t>
        </is>
      </c>
      <c r="C57" s="8" t="inlineStr">
        <is>
          <t>Feature</t>
        </is>
      </c>
      <c r="D57" s="9" t="n">
        <v>15000</v>
      </c>
      <c r="E57" s="7" t="n">
        <v>1</v>
      </c>
      <c r="F57" s="9">
        <f>D57*E57</f>
        <v/>
      </c>
      <c r="G57" s="7" t="inlineStr">
        <is>
          <t>Yes</t>
        </is>
      </c>
      <c r="H57" s="8" t="n"/>
    </row>
    <row r="58">
      <c r="A58" s="10" t="n">
        <v>46</v>
      </c>
      <c r="B58" s="11" t="inlineStr">
        <is>
          <t>Event Calendar</t>
        </is>
      </c>
      <c r="C58" s="11" t="inlineStr">
        <is>
          <t>Feature</t>
        </is>
      </c>
      <c r="D58" s="12" t="n">
        <v>8000</v>
      </c>
      <c r="E58" s="10" t="n">
        <v>1</v>
      </c>
      <c r="F58" s="12">
        <f>D58*E58</f>
        <v/>
      </c>
      <c r="G58" s="10" t="inlineStr">
        <is>
          <t>Yes</t>
        </is>
      </c>
      <c r="H58" s="11" t="n"/>
    </row>
    <row r="59">
      <c r="A59" s="7" t="n">
        <v>47</v>
      </c>
      <c r="B59" s="8" t="inlineStr">
        <is>
          <t>Google Maps Integration</t>
        </is>
      </c>
      <c r="C59" s="8" t="inlineStr">
        <is>
          <t>Feature</t>
        </is>
      </c>
      <c r="D59" s="9" t="n">
        <v>3000</v>
      </c>
      <c r="E59" s="7" t="n">
        <v>1</v>
      </c>
      <c r="F59" s="9">
        <f>D59*E59</f>
        <v/>
      </c>
      <c r="G59" s="7" t="inlineStr">
        <is>
          <t>Yes</t>
        </is>
      </c>
      <c r="H59" s="8" t="n"/>
    </row>
    <row r="60">
      <c r="A60" s="10" t="n">
        <v>48</v>
      </c>
      <c r="B60" s="11" t="inlineStr">
        <is>
          <t>Image Gallery / Lightbox</t>
        </is>
      </c>
      <c r="C60" s="11" t="inlineStr">
        <is>
          <t>Feature</t>
        </is>
      </c>
      <c r="D60" s="12" t="n">
        <v>3000</v>
      </c>
      <c r="E60" s="10" t="n">
        <v>1</v>
      </c>
      <c r="F60" s="12">
        <f>D60*E60</f>
        <v/>
      </c>
      <c r="G60" s="10" t="inlineStr">
        <is>
          <t>Yes</t>
        </is>
      </c>
      <c r="H60" s="11" t="n"/>
    </row>
    <row r="61">
      <c r="A61" s="7" t="n">
        <v>49</v>
      </c>
      <c r="B61" s="8" t="inlineStr">
        <is>
          <t>Video Integration</t>
        </is>
      </c>
      <c r="C61" s="8" t="inlineStr">
        <is>
          <t>Feature</t>
        </is>
      </c>
      <c r="D61" s="9" t="n">
        <v>2000</v>
      </c>
      <c r="E61" s="7" t="n">
        <v>1</v>
      </c>
      <c r="F61" s="9">
        <f>D61*E61</f>
        <v/>
      </c>
      <c r="G61" s="7" t="inlineStr">
        <is>
          <t>Yes</t>
        </is>
      </c>
      <c r="H61" s="8" t="n"/>
    </row>
    <row r="62">
      <c r="A62" s="10" t="n">
        <v>50</v>
      </c>
      <c r="B62" s="11" t="inlineStr">
        <is>
          <t>File Upload System</t>
        </is>
      </c>
      <c r="C62" s="11" t="inlineStr">
        <is>
          <t>Feature</t>
        </is>
      </c>
      <c r="D62" s="12" t="n">
        <v>5000</v>
      </c>
      <c r="E62" s="10" t="n">
        <v>1</v>
      </c>
      <c r="F62" s="12">
        <f>D62*E62</f>
        <v/>
      </c>
      <c r="G62" s="10" t="inlineStr">
        <is>
          <t>Yes</t>
        </is>
      </c>
      <c r="H62" s="11" t="n"/>
    </row>
    <row r="63">
      <c r="A63" s="7" t="n">
        <v>51</v>
      </c>
      <c r="B63" s="8" t="inlineStr">
        <is>
          <t>Multi-language Support</t>
        </is>
      </c>
      <c r="C63" s="8" t="inlineStr">
        <is>
          <t>Feature</t>
        </is>
      </c>
      <c r="D63" s="9" t="n">
        <v>15000</v>
      </c>
      <c r="E63" s="7" t="n">
        <v>1</v>
      </c>
      <c r="F63" s="9">
        <f>D63*E63</f>
        <v/>
      </c>
      <c r="G63" s="7" t="inlineStr">
        <is>
          <t>Yes</t>
        </is>
      </c>
      <c r="H63" s="8" t="n"/>
    </row>
    <row r="64">
      <c r="A64" s="10" t="n">
        <v>52</v>
      </c>
      <c r="B64" s="11" t="inlineStr">
        <is>
          <t>Dark Mode Toggle</t>
        </is>
      </c>
      <c r="C64" s="11" t="inlineStr">
        <is>
          <t>Feature</t>
        </is>
      </c>
      <c r="D64" s="12" t="n">
        <v>3000</v>
      </c>
      <c r="E64" s="10" t="n">
        <v>1</v>
      </c>
      <c r="F64" s="12">
        <f>D64*E64</f>
        <v/>
      </c>
      <c r="G64" s="10" t="inlineStr">
        <is>
          <t>Yes</t>
        </is>
      </c>
      <c r="H64" s="11" t="n"/>
    </row>
    <row r="65">
      <c r="A65" s="7" t="n">
        <v>53</v>
      </c>
      <c r="B65" s="8" t="inlineStr">
        <is>
          <t>Push Notifications (Web)</t>
        </is>
      </c>
      <c r="C65" s="8" t="inlineStr">
        <is>
          <t>Feature</t>
        </is>
      </c>
      <c r="D65" s="9" t="n">
        <v>5000</v>
      </c>
      <c r="E65" s="7" t="n">
        <v>1</v>
      </c>
      <c r="F65" s="9">
        <f>D65*E65</f>
        <v/>
      </c>
      <c r="G65" s="7" t="inlineStr">
        <is>
          <t>Yes</t>
        </is>
      </c>
      <c r="H65" s="8" t="n"/>
    </row>
    <row r="66">
      <c r="A66" s="10" t="n">
        <v>54</v>
      </c>
      <c r="B66" s="11" t="inlineStr">
        <is>
          <t>Advanced Search with Filters</t>
        </is>
      </c>
      <c r="C66" s="11" t="inlineStr">
        <is>
          <t>Feature</t>
        </is>
      </c>
      <c r="D66" s="12" t="n">
        <v>8000</v>
      </c>
      <c r="E66" s="10" t="n">
        <v>1</v>
      </c>
      <c r="F66" s="12">
        <f>D66*E66</f>
        <v/>
      </c>
      <c r="G66" s="10" t="inlineStr">
        <is>
          <t>Yes</t>
        </is>
      </c>
      <c r="H66" s="11" t="n"/>
    </row>
    <row r="67">
      <c r="A67" s="7" t="n">
        <v>55</v>
      </c>
      <c r="B67" s="8" t="inlineStr">
        <is>
          <t>Comments / Reviews System</t>
        </is>
      </c>
      <c r="C67" s="8" t="inlineStr">
        <is>
          <t>Feature</t>
        </is>
      </c>
      <c r="D67" s="9" t="n">
        <v>6000</v>
      </c>
      <c r="E67" s="7" t="n">
        <v>1</v>
      </c>
      <c r="F67" s="9">
        <f>D67*E67</f>
        <v/>
      </c>
      <c r="G67" s="7" t="inlineStr">
        <is>
          <t>Yes</t>
        </is>
      </c>
      <c r="H67" s="8" t="n"/>
    </row>
    <row r="68">
      <c r="A68" s="10" t="n">
        <v>56</v>
      </c>
      <c r="B68" s="11" t="inlineStr">
        <is>
          <t>Ratings System</t>
        </is>
      </c>
      <c r="C68" s="11" t="inlineStr">
        <is>
          <t>Feature</t>
        </is>
      </c>
      <c r="D68" s="12" t="n">
        <v>4000</v>
      </c>
      <c r="E68" s="10" t="n">
        <v>1</v>
      </c>
      <c r="F68" s="12">
        <f>D68*E68</f>
        <v/>
      </c>
      <c r="G68" s="10" t="inlineStr">
        <is>
          <t>Yes</t>
        </is>
      </c>
      <c r="H68" s="11" t="n"/>
    </row>
    <row r="69">
      <c r="A69" s="7" t="n">
        <v>57</v>
      </c>
      <c r="B69" s="8" t="inlineStr">
        <is>
          <t>Social Sharing Buttons</t>
        </is>
      </c>
      <c r="C69" s="8" t="inlineStr">
        <is>
          <t>Feature</t>
        </is>
      </c>
      <c r="D69" s="9" t="n">
        <v>1500</v>
      </c>
      <c r="E69" s="7" t="n">
        <v>1</v>
      </c>
      <c r="F69" s="9">
        <f>D69*E69</f>
        <v/>
      </c>
      <c r="G69" s="7" t="inlineStr">
        <is>
          <t>Yes</t>
        </is>
      </c>
      <c r="H69" s="8" t="n"/>
    </row>
    <row r="70">
      <c r="A70" s="10" t="n">
        <v>58</v>
      </c>
      <c r="B70" s="11" t="inlineStr">
        <is>
          <t>PDF Generation</t>
        </is>
      </c>
      <c r="C70" s="11" t="inlineStr">
        <is>
          <t>Feature</t>
        </is>
      </c>
      <c r="D70" s="12" t="n">
        <v>5000</v>
      </c>
      <c r="E70" s="10" t="n">
        <v>1</v>
      </c>
      <c r="F70" s="12">
        <f>D70*E70</f>
        <v/>
      </c>
      <c r="G70" s="10" t="inlineStr">
        <is>
          <t>Yes</t>
        </is>
      </c>
      <c r="H70" s="11" t="n"/>
    </row>
    <row r="71">
      <c r="A71" s="7" t="n">
        <v>59</v>
      </c>
      <c r="B71" s="8" t="inlineStr">
        <is>
          <t>Email Template System</t>
        </is>
      </c>
      <c r="C71" s="8" t="inlineStr">
        <is>
          <t>Feature</t>
        </is>
      </c>
      <c r="D71" s="9" t="n">
        <v>5000</v>
      </c>
      <c r="E71" s="7" t="n">
        <v>1</v>
      </c>
      <c r="F71" s="9">
        <f>D71*E71</f>
        <v/>
      </c>
      <c r="G71" s="7" t="inlineStr">
        <is>
          <t>Yes</t>
        </is>
      </c>
      <c r="H71" s="8" t="n"/>
    </row>
    <row r="72">
      <c r="A72" s="10" t="n">
        <v>60</v>
      </c>
      <c r="B72" s="11" t="inlineStr">
        <is>
          <t>CRM Integration</t>
        </is>
      </c>
      <c r="C72" s="11" t="inlineStr">
        <is>
          <t>Feature</t>
        </is>
      </c>
      <c r="D72" s="12" t="n">
        <v>10000</v>
      </c>
      <c r="E72" s="10" t="n">
        <v>1</v>
      </c>
      <c r="F72" s="12">
        <f>D72*E72</f>
        <v/>
      </c>
      <c r="G72" s="10" t="inlineStr">
        <is>
          <t>Yes</t>
        </is>
      </c>
      <c r="H72" s="11" t="n"/>
    </row>
    <row r="73">
      <c r="A73" s="5" t="inlineStr">
        <is>
          <t>E-COMMERCE (if applicable)</t>
        </is>
      </c>
      <c r="B73" s="6" t="n"/>
      <c r="C73" s="6" t="n"/>
      <c r="D73" s="6" t="n"/>
      <c r="E73" s="6" t="n"/>
      <c r="F73" s="6" t="n"/>
      <c r="G73" s="6" t="n"/>
      <c r="H73" s="6" t="n"/>
    </row>
    <row r="74">
      <c r="A74" s="7" t="n">
        <v>61</v>
      </c>
      <c r="B74" s="8" t="inlineStr">
        <is>
          <t>Product Listing Page</t>
        </is>
      </c>
      <c r="C74" s="8" t="inlineStr">
        <is>
          <t>E-Commerce</t>
        </is>
      </c>
      <c r="D74" s="9" t="n">
        <v>8000</v>
      </c>
      <c r="E74" s="7" t="n">
        <v>1</v>
      </c>
      <c r="F74" s="9">
        <f>D74*E74</f>
        <v/>
      </c>
      <c r="G74" s="7" t="inlineStr">
        <is>
          <t>Yes</t>
        </is>
      </c>
      <c r="H74" s="8" t="n"/>
    </row>
    <row r="75">
      <c r="A75" s="10" t="n">
        <v>62</v>
      </c>
      <c r="B75" s="11" t="inlineStr">
        <is>
          <t>Product Detail Page</t>
        </is>
      </c>
      <c r="C75" s="11" t="inlineStr">
        <is>
          <t>E-Commerce</t>
        </is>
      </c>
      <c r="D75" s="12" t="n">
        <v>8000</v>
      </c>
      <c r="E75" s="10" t="n">
        <v>1</v>
      </c>
      <c r="F75" s="12">
        <f>D75*E75</f>
        <v/>
      </c>
      <c r="G75" s="10" t="inlineStr">
        <is>
          <t>Yes</t>
        </is>
      </c>
      <c r="H75" s="11" t="n"/>
    </row>
    <row r="76">
      <c r="A76" s="7" t="n">
        <v>63</v>
      </c>
      <c r="B76" s="8" t="inlineStr">
        <is>
          <t>Shopping Cart</t>
        </is>
      </c>
      <c r="C76" s="8" t="inlineStr">
        <is>
          <t>E-Commerce</t>
        </is>
      </c>
      <c r="D76" s="9" t="n">
        <v>10000</v>
      </c>
      <c r="E76" s="7" t="n">
        <v>1</v>
      </c>
      <c r="F76" s="9">
        <f>D76*E76</f>
        <v/>
      </c>
      <c r="G76" s="7" t="inlineStr">
        <is>
          <t>Yes</t>
        </is>
      </c>
      <c r="H76" s="8" t="n"/>
    </row>
    <row r="77">
      <c r="A77" s="10" t="n">
        <v>64</v>
      </c>
      <c r="B77" s="11" t="inlineStr">
        <is>
          <t>Checkout Flow</t>
        </is>
      </c>
      <c r="C77" s="11" t="inlineStr">
        <is>
          <t>E-Commerce</t>
        </is>
      </c>
      <c r="D77" s="12" t="n">
        <v>12000</v>
      </c>
      <c r="E77" s="10" t="n">
        <v>1</v>
      </c>
      <c r="F77" s="12">
        <f>D77*E77</f>
        <v/>
      </c>
      <c r="G77" s="10" t="inlineStr">
        <is>
          <t>Yes</t>
        </is>
      </c>
      <c r="H77" s="11" t="n"/>
    </row>
    <row r="78">
      <c r="A78" s="7" t="n">
        <v>65</v>
      </c>
      <c r="B78" s="8" t="inlineStr">
        <is>
          <t>Order Management System</t>
        </is>
      </c>
      <c r="C78" s="8" t="inlineStr">
        <is>
          <t>E-Commerce</t>
        </is>
      </c>
      <c r="D78" s="9" t="n">
        <v>15000</v>
      </c>
      <c r="E78" s="7" t="n">
        <v>1</v>
      </c>
      <c r="F78" s="9">
        <f>D78*E78</f>
        <v/>
      </c>
      <c r="G78" s="7" t="inlineStr">
        <is>
          <t>Yes</t>
        </is>
      </c>
      <c r="H78" s="8" t="n"/>
    </row>
    <row r="79">
      <c r="A79" s="10" t="n">
        <v>66</v>
      </c>
      <c r="B79" s="11" t="inlineStr">
        <is>
          <t>Inventory Management</t>
        </is>
      </c>
      <c r="C79" s="11" t="inlineStr">
        <is>
          <t>E-Commerce</t>
        </is>
      </c>
      <c r="D79" s="12" t="n">
        <v>12000</v>
      </c>
      <c r="E79" s="10" t="n">
        <v>1</v>
      </c>
      <c r="F79" s="12">
        <f>D79*E79</f>
        <v/>
      </c>
      <c r="G79" s="10" t="inlineStr">
        <is>
          <t>Yes</t>
        </is>
      </c>
      <c r="H79" s="11" t="n"/>
    </row>
    <row r="80">
      <c r="A80" s="7" t="n">
        <v>67</v>
      </c>
      <c r="B80" s="8" t="inlineStr">
        <is>
          <t>Coupon / Discount System</t>
        </is>
      </c>
      <c r="C80" s="8" t="inlineStr">
        <is>
          <t>E-Commerce</t>
        </is>
      </c>
      <c r="D80" s="9" t="n">
        <v>6000</v>
      </c>
      <c r="E80" s="7" t="n">
        <v>1</v>
      </c>
      <c r="F80" s="9">
        <f>D80*E80</f>
        <v/>
      </c>
      <c r="G80" s="7" t="inlineStr">
        <is>
          <t>Yes</t>
        </is>
      </c>
      <c r="H80" s="8" t="n"/>
    </row>
    <row r="81">
      <c r="A81" s="10" t="n">
        <v>68</v>
      </c>
      <c r="B81" s="11" t="inlineStr">
        <is>
          <t>Wishlist Feature</t>
        </is>
      </c>
      <c r="C81" s="11" t="inlineStr">
        <is>
          <t>E-Commerce</t>
        </is>
      </c>
      <c r="D81" s="12" t="n">
        <v>4000</v>
      </c>
      <c r="E81" s="10" t="n">
        <v>1</v>
      </c>
      <c r="F81" s="12">
        <f>D81*E81</f>
        <v/>
      </c>
      <c r="G81" s="10" t="inlineStr">
        <is>
          <t>Yes</t>
        </is>
      </c>
      <c r="H81" s="11" t="n"/>
    </row>
    <row r="82">
      <c r="A82" s="7" t="n">
        <v>69</v>
      </c>
      <c r="B82" s="8" t="inlineStr">
        <is>
          <t>Product Reviews</t>
        </is>
      </c>
      <c r="C82" s="8" t="inlineStr">
        <is>
          <t>E-Commerce</t>
        </is>
      </c>
      <c r="D82" s="9" t="n">
        <v>5000</v>
      </c>
      <c r="E82" s="7" t="n">
        <v>1</v>
      </c>
      <c r="F82" s="9">
        <f>D82*E82</f>
        <v/>
      </c>
      <c r="G82" s="7" t="inlineStr">
        <is>
          <t>Yes</t>
        </is>
      </c>
      <c r="H82" s="8" t="n"/>
    </row>
    <row r="83">
      <c r="A83" s="10" t="n">
        <v>70</v>
      </c>
      <c r="B83" s="11" t="inlineStr">
        <is>
          <t>Shipping Calculator</t>
        </is>
      </c>
      <c r="C83" s="11" t="inlineStr">
        <is>
          <t>E-Commerce</t>
        </is>
      </c>
      <c r="D83" s="12" t="n">
        <v>5000</v>
      </c>
      <c r="E83" s="10" t="n">
        <v>1</v>
      </c>
      <c r="F83" s="12">
        <f>D83*E83</f>
        <v/>
      </c>
      <c r="G83" s="10" t="inlineStr">
        <is>
          <t>Yes</t>
        </is>
      </c>
      <c r="H83" s="11" t="n"/>
    </row>
    <row r="84">
      <c r="A84" s="7" t="n">
        <v>71</v>
      </c>
      <c r="B84" s="8" t="inlineStr">
        <is>
          <t>Tax Calculation</t>
        </is>
      </c>
      <c r="C84" s="8" t="inlineStr">
        <is>
          <t>E-Commerce</t>
        </is>
      </c>
      <c r="D84" s="9" t="n">
        <v>4000</v>
      </c>
      <c r="E84" s="7" t="n">
        <v>1</v>
      </c>
      <c r="F84" s="9">
        <f>D84*E84</f>
        <v/>
      </c>
      <c r="G84" s="7" t="inlineStr">
        <is>
          <t>Yes</t>
        </is>
      </c>
      <c r="H84" s="8" t="n"/>
    </row>
    <row r="85">
      <c r="A85" s="10" t="n">
        <v>72</v>
      </c>
      <c r="B85" s="11" t="inlineStr">
        <is>
          <t>Invoice Generation</t>
        </is>
      </c>
      <c r="C85" s="11" t="inlineStr">
        <is>
          <t>E-Commerce</t>
        </is>
      </c>
      <c r="D85" s="12" t="n">
        <v>5000</v>
      </c>
      <c r="E85" s="10" t="n">
        <v>1</v>
      </c>
      <c r="F85" s="12">
        <f>D85*E85</f>
        <v/>
      </c>
      <c r="G85" s="10" t="inlineStr">
        <is>
          <t>Yes</t>
        </is>
      </c>
      <c r="H85" s="11" t="n"/>
    </row>
    <row r="86">
      <c r="A86" s="7" t="n">
        <v>73</v>
      </c>
      <c r="B86" s="8" t="inlineStr">
        <is>
          <t>Return / Refund System</t>
        </is>
      </c>
      <c r="C86" s="8" t="inlineStr">
        <is>
          <t>E-Commerce</t>
        </is>
      </c>
      <c r="D86" s="9" t="n">
        <v>8000</v>
      </c>
      <c r="E86" s="7" t="n">
        <v>1</v>
      </c>
      <c r="F86" s="9">
        <f>D86*E86</f>
        <v/>
      </c>
      <c r="G86" s="7" t="inlineStr">
        <is>
          <t>Yes</t>
        </is>
      </c>
      <c r="H86" s="8" t="n"/>
    </row>
    <row r="87">
      <c r="A87" s="10" t="n">
        <v>74</v>
      </c>
      <c r="B87" s="11" t="inlineStr">
        <is>
          <t>Vendor / Multi-seller System</t>
        </is>
      </c>
      <c r="C87" s="11" t="inlineStr">
        <is>
          <t>E-Commerce</t>
        </is>
      </c>
      <c r="D87" s="12" t="n">
        <v>40000</v>
      </c>
      <c r="E87" s="10" t="n">
        <v>1</v>
      </c>
      <c r="F87" s="12">
        <f>D87*E87</f>
        <v/>
      </c>
      <c r="G87" s="10" t="inlineStr">
        <is>
          <t>Yes</t>
        </is>
      </c>
      <c r="H87" s="11" t="n"/>
    </row>
    <row r="88">
      <c r="A88" s="5" t="inlineStr">
        <is>
          <t>PAYMENT INTEGRATION</t>
        </is>
      </c>
      <c r="B88" s="6" t="n"/>
      <c r="C88" s="6" t="n"/>
      <c r="D88" s="6" t="n"/>
      <c r="E88" s="6" t="n"/>
      <c r="F88" s="6" t="n"/>
      <c r="G88" s="6" t="n"/>
      <c r="H88" s="6" t="n"/>
    </row>
    <row r="89">
      <c r="A89" s="7" t="n">
        <v>75</v>
      </c>
      <c r="B89" s="8" t="inlineStr">
        <is>
          <t>Razorpay Integration</t>
        </is>
      </c>
      <c r="C89" s="8" t="inlineStr">
        <is>
          <t>Payment</t>
        </is>
      </c>
      <c r="D89" s="9" t="n">
        <v>5000</v>
      </c>
      <c r="E89" s="7" t="n">
        <v>1</v>
      </c>
      <c r="F89" s="9">
        <f>D89*E89</f>
        <v/>
      </c>
      <c r="G89" s="7" t="inlineStr">
        <is>
          <t>Yes</t>
        </is>
      </c>
      <c r="H89" s="8" t="n"/>
    </row>
    <row r="90">
      <c r="A90" s="10" t="n">
        <v>76</v>
      </c>
      <c r="B90" s="11" t="inlineStr">
        <is>
          <t>Stripe Integration</t>
        </is>
      </c>
      <c r="C90" s="11" t="inlineStr">
        <is>
          <t>Payment</t>
        </is>
      </c>
      <c r="D90" s="12" t="n">
        <v>6000</v>
      </c>
      <c r="E90" s="10" t="n">
        <v>1</v>
      </c>
      <c r="F90" s="12">
        <f>D90*E90</f>
        <v/>
      </c>
      <c r="G90" s="10" t="inlineStr">
        <is>
          <t>Yes</t>
        </is>
      </c>
      <c r="H90" s="11" t="n"/>
    </row>
    <row r="91">
      <c r="A91" s="7" t="n">
        <v>77</v>
      </c>
      <c r="B91" s="8" t="inlineStr">
        <is>
          <t>PayPal Integration</t>
        </is>
      </c>
      <c r="C91" s="8" t="inlineStr">
        <is>
          <t>Payment</t>
        </is>
      </c>
      <c r="D91" s="9" t="n">
        <v>5000</v>
      </c>
      <c r="E91" s="7" t="n">
        <v>1</v>
      </c>
      <c r="F91" s="9">
        <f>D91*E91</f>
        <v/>
      </c>
      <c r="G91" s="7" t="inlineStr">
        <is>
          <t>Yes</t>
        </is>
      </c>
      <c r="H91" s="8" t="n"/>
    </row>
    <row r="92">
      <c r="A92" s="10" t="n">
        <v>78</v>
      </c>
      <c r="B92" s="11" t="inlineStr">
        <is>
          <t>UPI Integration</t>
        </is>
      </c>
      <c r="C92" s="11" t="inlineStr">
        <is>
          <t>Payment</t>
        </is>
      </c>
      <c r="D92" s="12" t="n">
        <v>3000</v>
      </c>
      <c r="E92" s="10" t="n">
        <v>1</v>
      </c>
      <c r="F92" s="12">
        <f>D92*E92</f>
        <v/>
      </c>
      <c r="G92" s="10" t="inlineStr">
        <is>
          <t>Yes</t>
        </is>
      </c>
      <c r="H92" s="11" t="n"/>
    </row>
    <row r="93">
      <c r="A93" s="7" t="n">
        <v>79</v>
      </c>
      <c r="B93" s="8" t="inlineStr">
        <is>
          <t>Subscription / Recurring Payments</t>
        </is>
      </c>
      <c r="C93" s="8" t="inlineStr">
        <is>
          <t>Payment</t>
        </is>
      </c>
      <c r="D93" s="9" t="n">
        <v>10000</v>
      </c>
      <c r="E93" s="7" t="n">
        <v>1</v>
      </c>
      <c r="F93" s="9">
        <f>D93*E93</f>
        <v/>
      </c>
      <c r="G93" s="7" t="inlineStr">
        <is>
          <t>Yes</t>
        </is>
      </c>
      <c r="H93" s="8" t="n"/>
    </row>
    <row r="94">
      <c r="A94" s="5" t="inlineStr">
        <is>
          <t>SEO &amp; ANALYTICS</t>
        </is>
      </c>
      <c r="B94" s="6" t="n"/>
      <c r="C94" s="6" t="n"/>
      <c r="D94" s="6" t="n"/>
      <c r="E94" s="6" t="n"/>
      <c r="F94" s="6" t="n"/>
      <c r="G94" s="6" t="n"/>
      <c r="H94" s="6" t="n"/>
    </row>
    <row r="95">
      <c r="A95" s="10" t="n">
        <v>80</v>
      </c>
      <c r="B95" s="11" t="inlineStr">
        <is>
          <t>Basic On-Page SEO</t>
        </is>
      </c>
      <c r="C95" s="11" t="inlineStr">
        <is>
          <t>SEO</t>
        </is>
      </c>
      <c r="D95" s="12" t="n">
        <v>5000</v>
      </c>
      <c r="E95" s="10" t="n">
        <v>1</v>
      </c>
      <c r="F95" s="12">
        <f>D95*E95</f>
        <v/>
      </c>
      <c r="G95" s="10" t="inlineStr">
        <is>
          <t>Yes</t>
        </is>
      </c>
      <c r="H95" s="11" t="n"/>
    </row>
    <row r="96">
      <c r="A96" s="7" t="n">
        <v>81</v>
      </c>
      <c r="B96" s="8" t="inlineStr">
        <is>
          <t>Advanced SEO Setup</t>
        </is>
      </c>
      <c r="C96" s="8" t="inlineStr">
        <is>
          <t>SEO</t>
        </is>
      </c>
      <c r="D96" s="9" t="n">
        <v>15000</v>
      </c>
      <c r="E96" s="7" t="n">
        <v>1</v>
      </c>
      <c r="F96" s="9">
        <f>D96*E96</f>
        <v/>
      </c>
      <c r="G96" s="7" t="inlineStr">
        <is>
          <t>Yes</t>
        </is>
      </c>
      <c r="H96" s="8" t="n"/>
    </row>
    <row r="97">
      <c r="A97" s="10" t="n">
        <v>82</v>
      </c>
      <c r="B97" s="11" t="inlineStr">
        <is>
          <t>Google Analytics 4 Setup</t>
        </is>
      </c>
      <c r="C97" s="11" t="inlineStr">
        <is>
          <t>SEO</t>
        </is>
      </c>
      <c r="D97" s="12" t="n">
        <v>2000</v>
      </c>
      <c r="E97" s="10" t="n">
        <v>1</v>
      </c>
      <c r="F97" s="12">
        <f>D97*E97</f>
        <v/>
      </c>
      <c r="G97" s="10" t="inlineStr">
        <is>
          <t>Yes</t>
        </is>
      </c>
      <c r="H97" s="11" t="n"/>
    </row>
    <row r="98">
      <c r="A98" s="7" t="n">
        <v>83</v>
      </c>
      <c r="B98" s="8" t="inlineStr">
        <is>
          <t>Google Search Console Setup</t>
        </is>
      </c>
      <c r="C98" s="8" t="inlineStr">
        <is>
          <t>SEO</t>
        </is>
      </c>
      <c r="D98" s="9" t="n">
        <v>1000</v>
      </c>
      <c r="E98" s="7" t="n">
        <v>1</v>
      </c>
      <c r="F98" s="9">
        <f>D98*E98</f>
        <v/>
      </c>
      <c r="G98" s="7" t="inlineStr">
        <is>
          <t>Yes</t>
        </is>
      </c>
      <c r="H98" s="8" t="n"/>
    </row>
    <row r="99">
      <c r="A99" s="10" t="n">
        <v>84</v>
      </c>
      <c r="B99" s="11" t="inlineStr">
        <is>
          <t>Schema Markup</t>
        </is>
      </c>
      <c r="C99" s="11" t="inlineStr">
        <is>
          <t>SEO</t>
        </is>
      </c>
      <c r="D99" s="12" t="n">
        <v>3000</v>
      </c>
      <c r="E99" s="10" t="n">
        <v>1</v>
      </c>
      <c r="F99" s="12">
        <f>D99*E99</f>
        <v/>
      </c>
      <c r="G99" s="10" t="inlineStr">
        <is>
          <t>Yes</t>
        </is>
      </c>
      <c r="H99" s="11" t="n"/>
    </row>
    <row r="100">
      <c r="A100" s="7" t="n">
        <v>85</v>
      </c>
      <c r="B100" s="8" t="inlineStr">
        <is>
          <t>Sitemap &amp; Robots.txt</t>
        </is>
      </c>
      <c r="C100" s="8" t="inlineStr">
        <is>
          <t>SEO</t>
        </is>
      </c>
      <c r="D100" s="9" t="n">
        <v>1000</v>
      </c>
      <c r="E100" s="7" t="n">
        <v>1</v>
      </c>
      <c r="F100" s="9">
        <f>D100*E100</f>
        <v/>
      </c>
      <c r="G100" s="7" t="inlineStr">
        <is>
          <t>Yes</t>
        </is>
      </c>
      <c r="H100" s="8" t="n"/>
    </row>
    <row r="101">
      <c r="A101" s="10" t="n">
        <v>86</v>
      </c>
      <c r="B101" s="11" t="inlineStr">
        <is>
          <t>Google Tag Manager Setup</t>
        </is>
      </c>
      <c r="C101" s="11" t="inlineStr">
        <is>
          <t>SEO</t>
        </is>
      </c>
      <c r="D101" s="12" t="n">
        <v>2000</v>
      </c>
      <c r="E101" s="10" t="n">
        <v>1</v>
      </c>
      <c r="F101" s="12">
        <f>D101*E101</f>
        <v/>
      </c>
      <c r="G101" s="10" t="inlineStr">
        <is>
          <t>Yes</t>
        </is>
      </c>
      <c r="H101" s="11" t="n"/>
    </row>
    <row r="102">
      <c r="A102" s="7" t="n">
        <v>87</v>
      </c>
      <c r="B102" s="8" t="inlineStr">
        <is>
          <t>Facebook Pixel Setup</t>
        </is>
      </c>
      <c r="C102" s="8" t="inlineStr">
        <is>
          <t>SEO</t>
        </is>
      </c>
      <c r="D102" s="9" t="n">
        <v>1500</v>
      </c>
      <c r="E102" s="7" t="n">
        <v>1</v>
      </c>
      <c r="F102" s="9">
        <f>D102*E102</f>
        <v/>
      </c>
      <c r="G102" s="7" t="inlineStr">
        <is>
          <t>Yes</t>
        </is>
      </c>
      <c r="H102" s="8" t="n"/>
    </row>
    <row r="103">
      <c r="A103" s="5" t="inlineStr">
        <is>
          <t>SECURITY</t>
        </is>
      </c>
      <c r="B103" s="6" t="n"/>
      <c r="C103" s="6" t="n"/>
      <c r="D103" s="6" t="n"/>
      <c r="E103" s="6" t="n"/>
      <c r="F103" s="6" t="n"/>
      <c r="G103" s="6" t="n"/>
      <c r="H103" s="6" t="n"/>
    </row>
    <row r="104">
      <c r="A104" s="10" t="n">
        <v>88</v>
      </c>
      <c r="B104" s="11" t="inlineStr">
        <is>
          <t>Security Headers Setup</t>
        </is>
      </c>
      <c r="C104" s="11" t="inlineStr">
        <is>
          <t>Security</t>
        </is>
      </c>
      <c r="D104" s="12" t="n">
        <v>2000</v>
      </c>
      <c r="E104" s="10" t="n">
        <v>1</v>
      </c>
      <c r="F104" s="12">
        <f>D104*E104</f>
        <v/>
      </c>
      <c r="G104" s="10" t="inlineStr">
        <is>
          <t>Yes</t>
        </is>
      </c>
      <c r="H104" s="11" t="n"/>
    </row>
    <row r="105">
      <c r="A105" s="7" t="n">
        <v>89</v>
      </c>
      <c r="B105" s="8" t="inlineStr">
        <is>
          <t>Firewall Setup (WAF)</t>
        </is>
      </c>
      <c r="C105" s="8" t="inlineStr">
        <is>
          <t>Security</t>
        </is>
      </c>
      <c r="D105" s="9" t="n">
        <v>5000</v>
      </c>
      <c r="E105" s="7" t="n">
        <v>1</v>
      </c>
      <c r="F105" s="9">
        <f>D105*E105</f>
        <v/>
      </c>
      <c r="G105" s="7" t="inlineStr">
        <is>
          <t>Yes</t>
        </is>
      </c>
      <c r="H105" s="8" t="n"/>
    </row>
    <row r="106">
      <c r="A106" s="10" t="n">
        <v>90</v>
      </c>
      <c r="B106" s="11" t="inlineStr">
        <is>
          <t>DDoS Protection</t>
        </is>
      </c>
      <c r="C106" s="11" t="inlineStr">
        <is>
          <t>Security</t>
        </is>
      </c>
      <c r="D106" s="12" t="n">
        <v>5000</v>
      </c>
      <c r="E106" s="10" t="n">
        <v>1</v>
      </c>
      <c r="F106" s="12">
        <f>D106*E106</f>
        <v/>
      </c>
      <c r="G106" s="10" t="inlineStr">
        <is>
          <t>Yes</t>
        </is>
      </c>
      <c r="H106" s="11" t="n"/>
    </row>
    <row r="107">
      <c r="A107" s="7" t="n">
        <v>91</v>
      </c>
      <c r="B107" s="8" t="inlineStr">
        <is>
          <t>CAPTCHA Integration</t>
        </is>
      </c>
      <c r="C107" s="8" t="inlineStr">
        <is>
          <t>Security</t>
        </is>
      </c>
      <c r="D107" s="9" t="n">
        <v>2000</v>
      </c>
      <c r="E107" s="7" t="n">
        <v>1</v>
      </c>
      <c r="F107" s="9">
        <f>D107*E107</f>
        <v/>
      </c>
      <c r="G107" s="7" t="inlineStr">
        <is>
          <t>Yes</t>
        </is>
      </c>
      <c r="H107" s="8" t="n"/>
    </row>
    <row r="108">
      <c r="A108" s="10" t="n">
        <v>92</v>
      </c>
      <c r="B108" s="11" t="inlineStr">
        <is>
          <t>Two-Factor Auth (2FA)</t>
        </is>
      </c>
      <c r="C108" s="11" t="inlineStr">
        <is>
          <t>Security</t>
        </is>
      </c>
      <c r="D108" s="12" t="n">
        <v>5000</v>
      </c>
      <c r="E108" s="10" t="n">
        <v>1</v>
      </c>
      <c r="F108" s="12">
        <f>D108*E108</f>
        <v/>
      </c>
      <c r="G108" s="10" t="inlineStr">
        <is>
          <t>Yes</t>
        </is>
      </c>
      <c r="H108" s="11" t="n"/>
    </row>
    <row r="109">
      <c r="A109" s="7" t="n">
        <v>93</v>
      </c>
      <c r="B109" s="8" t="inlineStr">
        <is>
          <t>GDPR Compliance Setup</t>
        </is>
      </c>
      <c r="C109" s="8" t="inlineStr">
        <is>
          <t>Security</t>
        </is>
      </c>
      <c r="D109" s="9" t="n">
        <v>8000</v>
      </c>
      <c r="E109" s="7" t="n">
        <v>1</v>
      </c>
      <c r="F109" s="9">
        <f>D109*E109</f>
        <v/>
      </c>
      <c r="G109" s="7" t="inlineStr">
        <is>
          <t>Yes</t>
        </is>
      </c>
      <c r="H109" s="8" t="n"/>
    </row>
    <row r="110">
      <c r="A110" s="10" t="n">
        <v>94</v>
      </c>
      <c r="B110" s="11" t="inlineStr">
        <is>
          <t>Security Audit</t>
        </is>
      </c>
      <c r="C110" s="11" t="inlineStr">
        <is>
          <t>Security</t>
        </is>
      </c>
      <c r="D110" s="12" t="n">
        <v>10000</v>
      </c>
      <c r="E110" s="10" t="n">
        <v>1</v>
      </c>
      <c r="F110" s="12">
        <f>D110*E110</f>
        <v/>
      </c>
      <c r="G110" s="10" t="inlineStr">
        <is>
          <t>Yes</t>
        </is>
      </c>
      <c r="H110" s="11" t="n"/>
    </row>
    <row r="111">
      <c r="A111" s="5" t="inlineStr">
        <is>
          <t>CMS SETUP</t>
        </is>
      </c>
      <c r="B111" s="6" t="n"/>
      <c r="C111" s="6" t="n"/>
      <c r="D111" s="6" t="n"/>
      <c r="E111" s="6" t="n"/>
      <c r="F111" s="6" t="n"/>
      <c r="G111" s="6" t="n"/>
      <c r="H111" s="6" t="n"/>
    </row>
    <row r="112">
      <c r="A112" s="7" t="n">
        <v>95</v>
      </c>
      <c r="B112" s="8" t="inlineStr">
        <is>
          <t>WordPress Setup &amp; Customization</t>
        </is>
      </c>
      <c r="C112" s="8" t="inlineStr">
        <is>
          <t>CMS</t>
        </is>
      </c>
      <c r="D112" s="9" t="n">
        <v>15000</v>
      </c>
      <c r="E112" s="7" t="n">
        <v>1</v>
      </c>
      <c r="F112" s="9">
        <f>D112*E112</f>
        <v/>
      </c>
      <c r="G112" s="7" t="inlineStr">
        <is>
          <t>Yes</t>
        </is>
      </c>
      <c r="H112" s="8" t="n"/>
    </row>
    <row r="113">
      <c r="A113" s="10" t="n">
        <v>96</v>
      </c>
      <c r="B113" s="11" t="inlineStr">
        <is>
          <t>Custom CMS / Admin Panel</t>
        </is>
      </c>
      <c r="C113" s="11" t="inlineStr">
        <is>
          <t>CMS</t>
        </is>
      </c>
      <c r="D113" s="12" t="n">
        <v>30000</v>
      </c>
      <c r="E113" s="10" t="n">
        <v>1</v>
      </c>
      <c r="F113" s="12">
        <f>D113*E113</f>
        <v/>
      </c>
      <c r="G113" s="10" t="inlineStr">
        <is>
          <t>Yes</t>
        </is>
      </c>
      <c r="H113" s="11" t="n"/>
    </row>
    <row r="114">
      <c r="A114" s="7" t="n">
        <v>97</v>
      </c>
      <c r="B114" s="8" t="inlineStr">
        <is>
          <t>Headless CMS (Strapi/Sanity)</t>
        </is>
      </c>
      <c r="C114" s="8" t="inlineStr">
        <is>
          <t>CMS</t>
        </is>
      </c>
      <c r="D114" s="9" t="n">
        <v>20000</v>
      </c>
      <c r="E114" s="7" t="n">
        <v>1</v>
      </c>
      <c r="F114" s="9">
        <f>D114*E114</f>
        <v/>
      </c>
      <c r="G114" s="7" t="inlineStr">
        <is>
          <t>Yes</t>
        </is>
      </c>
      <c r="H114" s="8" t="n"/>
    </row>
    <row r="115">
      <c r="A115" s="5" t="inlineStr">
        <is>
          <t>CONTENT SERVICES</t>
        </is>
      </c>
      <c r="B115" s="6" t="n"/>
      <c r="C115" s="6" t="n"/>
      <c r="D115" s="6" t="n"/>
      <c r="E115" s="6" t="n"/>
      <c r="F115" s="6" t="n"/>
      <c r="G115" s="6" t="n"/>
      <c r="H115" s="6" t="n"/>
    </row>
    <row r="116">
      <c r="A116" s="10" t="n">
        <v>98</v>
      </c>
      <c r="B116" s="11" t="inlineStr">
        <is>
          <t>Content Writing (per page)</t>
        </is>
      </c>
      <c r="C116" s="11" t="inlineStr">
        <is>
          <t>Content</t>
        </is>
      </c>
      <c r="D116" s="12" t="n">
        <v>2000</v>
      </c>
      <c r="E116" s="10" t="n">
        <v>1</v>
      </c>
      <c r="F116" s="12">
        <f>D116*E116</f>
        <v/>
      </c>
      <c r="G116" s="10" t="inlineStr">
        <is>
          <t>Yes</t>
        </is>
      </c>
      <c r="H116" s="11" t="n"/>
    </row>
    <row r="117">
      <c r="A117" s="7" t="n">
        <v>99</v>
      </c>
      <c r="B117" s="8" t="inlineStr">
        <is>
          <t>Copywriting (per page)</t>
        </is>
      </c>
      <c r="C117" s="8" t="inlineStr">
        <is>
          <t>Content</t>
        </is>
      </c>
      <c r="D117" s="9" t="n">
        <v>3000</v>
      </c>
      <c r="E117" s="7" t="n">
        <v>1</v>
      </c>
      <c r="F117" s="9">
        <f>D117*E117</f>
        <v/>
      </c>
      <c r="G117" s="7" t="inlineStr">
        <is>
          <t>Yes</t>
        </is>
      </c>
      <c r="H117" s="8" t="n"/>
    </row>
    <row r="118">
      <c r="A118" s="10" t="n">
        <v>100</v>
      </c>
      <c r="B118" s="11" t="inlineStr">
        <is>
          <t>Stock Images (per set of 10)</t>
        </is>
      </c>
      <c r="C118" s="11" t="inlineStr">
        <is>
          <t>Content</t>
        </is>
      </c>
      <c r="D118" s="12" t="n">
        <v>2000</v>
      </c>
      <c r="E118" s="10" t="n">
        <v>1</v>
      </c>
      <c r="F118" s="12">
        <f>D118*E118</f>
        <v/>
      </c>
      <c r="G118" s="10" t="inlineStr">
        <is>
          <t>Yes</t>
        </is>
      </c>
      <c r="H118" s="11" t="n"/>
    </row>
    <row r="119">
      <c r="A119" s="5" t="inlineStr">
        <is>
          <t>PERFORMANCE OPTIMIZATION</t>
        </is>
      </c>
      <c r="B119" s="6" t="n"/>
      <c r="C119" s="6" t="n"/>
      <c r="D119" s="6" t="n"/>
      <c r="E119" s="6" t="n"/>
      <c r="F119" s="6" t="n"/>
      <c r="G119" s="6" t="n"/>
      <c r="H119" s="6" t="n"/>
    </row>
    <row r="120">
      <c r="A120" s="7" t="n">
        <v>101</v>
      </c>
      <c r="B120" s="8" t="inlineStr">
        <is>
          <t>Page Speed Optimization</t>
        </is>
      </c>
      <c r="C120" s="8" t="inlineStr">
        <is>
          <t>Performance</t>
        </is>
      </c>
      <c r="D120" s="9" t="n">
        <v>5000</v>
      </c>
      <c r="E120" s="7" t="n">
        <v>1</v>
      </c>
      <c r="F120" s="9">
        <f>D120*E120</f>
        <v/>
      </c>
      <c r="G120" s="7" t="inlineStr">
        <is>
          <t>Yes</t>
        </is>
      </c>
      <c r="H120" s="8" t="n"/>
    </row>
    <row r="121">
      <c r="A121" s="10" t="n">
        <v>102</v>
      </c>
      <c r="B121" s="11" t="inlineStr">
        <is>
          <t>CDN Setup</t>
        </is>
      </c>
      <c r="C121" s="11" t="inlineStr">
        <is>
          <t>Performance</t>
        </is>
      </c>
      <c r="D121" s="12" t="n">
        <v>3000</v>
      </c>
      <c r="E121" s="10" t="n">
        <v>1</v>
      </c>
      <c r="F121" s="12">
        <f>D121*E121</f>
        <v/>
      </c>
      <c r="G121" s="10" t="inlineStr">
        <is>
          <t>Yes</t>
        </is>
      </c>
      <c r="H121" s="11" t="n"/>
    </row>
    <row r="122">
      <c r="A122" s="7" t="n">
        <v>103</v>
      </c>
      <c r="B122" s="8" t="inlineStr">
        <is>
          <t>Image Optimization Pipeline</t>
        </is>
      </c>
      <c r="C122" s="8" t="inlineStr">
        <is>
          <t>Performance</t>
        </is>
      </c>
      <c r="D122" s="9" t="n">
        <v>3000</v>
      </c>
      <c r="E122" s="7" t="n">
        <v>1</v>
      </c>
      <c r="F122" s="9">
        <f>D122*E122</f>
        <v/>
      </c>
      <c r="G122" s="7" t="inlineStr">
        <is>
          <t>Yes</t>
        </is>
      </c>
      <c r="H122" s="8" t="n"/>
    </row>
    <row r="123">
      <c r="A123" s="10" t="n">
        <v>104</v>
      </c>
      <c r="B123" s="11" t="inlineStr">
        <is>
          <t>Caching Strategy</t>
        </is>
      </c>
      <c r="C123" s="11" t="inlineStr">
        <is>
          <t>Performance</t>
        </is>
      </c>
      <c r="D123" s="12" t="n">
        <v>3000</v>
      </c>
      <c r="E123" s="10" t="n">
        <v>1</v>
      </c>
      <c r="F123" s="12">
        <f>D123*E123</f>
        <v/>
      </c>
      <c r="G123" s="10" t="inlineStr">
        <is>
          <t>Yes</t>
        </is>
      </c>
      <c r="H123" s="11" t="n"/>
    </row>
    <row r="124">
      <c r="A124" s="5" t="inlineStr">
        <is>
          <t>THIRD-PARTY INTEGRATIONS</t>
        </is>
      </c>
      <c r="B124" s="6" t="n"/>
      <c r="C124" s="6" t="n"/>
      <c r="D124" s="6" t="n"/>
      <c r="E124" s="6" t="n"/>
      <c r="F124" s="6" t="n"/>
      <c r="G124" s="6" t="n"/>
      <c r="H124" s="6" t="n"/>
    </row>
    <row r="125">
      <c r="A125" s="7" t="n">
        <v>105</v>
      </c>
      <c r="B125" s="8" t="inlineStr">
        <is>
          <t>Email Service (SendGrid/SES)</t>
        </is>
      </c>
      <c r="C125" s="8" t="inlineStr">
        <is>
          <t>Integration</t>
        </is>
      </c>
      <c r="D125" s="9" t="n">
        <v>5000</v>
      </c>
      <c r="E125" s="7" t="n">
        <v>1</v>
      </c>
      <c r="F125" s="9">
        <f>D125*E125</f>
        <v/>
      </c>
      <c r="G125" s="7" t="inlineStr">
        <is>
          <t>Yes</t>
        </is>
      </c>
      <c r="H125" s="8" t="n"/>
    </row>
    <row r="126">
      <c r="A126" s="10" t="n">
        <v>106</v>
      </c>
      <c r="B126" s="11" t="inlineStr">
        <is>
          <t>SMS Gateway Integration</t>
        </is>
      </c>
      <c r="C126" s="11" t="inlineStr">
        <is>
          <t>Integration</t>
        </is>
      </c>
      <c r="D126" s="12" t="n">
        <v>5000</v>
      </c>
      <c r="E126" s="10" t="n">
        <v>1</v>
      </c>
      <c r="F126" s="12">
        <f>D126*E126</f>
        <v/>
      </c>
      <c r="G126" s="10" t="inlineStr">
        <is>
          <t>Yes</t>
        </is>
      </c>
      <c r="H126" s="11" t="n"/>
    </row>
    <row r="127">
      <c r="A127" s="7" t="n">
        <v>107</v>
      </c>
      <c r="B127" s="8" t="inlineStr">
        <is>
          <t>Social Media API Integration</t>
        </is>
      </c>
      <c r="C127" s="8" t="inlineStr">
        <is>
          <t>Integration</t>
        </is>
      </c>
      <c r="D127" s="9" t="n">
        <v>5000</v>
      </c>
      <c r="E127" s="7" t="n">
        <v>1</v>
      </c>
      <c r="F127" s="9">
        <f>D127*E127</f>
        <v/>
      </c>
      <c r="G127" s="7" t="inlineStr">
        <is>
          <t>Yes</t>
        </is>
      </c>
      <c r="H127" s="8" t="n"/>
    </row>
    <row r="128">
      <c r="A128" s="10" t="n">
        <v>108</v>
      </c>
      <c r="B128" s="11" t="inlineStr">
        <is>
          <t>Google Calendar Integration</t>
        </is>
      </c>
      <c r="C128" s="11" t="inlineStr">
        <is>
          <t>Integration</t>
        </is>
      </c>
      <c r="D128" s="12" t="n">
        <v>5000</v>
      </c>
      <c r="E128" s="10" t="n">
        <v>1</v>
      </c>
      <c r="F128" s="12">
        <f>D128*E128</f>
        <v/>
      </c>
      <c r="G128" s="10" t="inlineStr">
        <is>
          <t>Yes</t>
        </is>
      </c>
      <c r="H128" s="11" t="n"/>
    </row>
    <row r="129">
      <c r="A129" s="7" t="n">
        <v>109</v>
      </c>
      <c r="B129" s="8" t="inlineStr">
        <is>
          <t>Zapier / Automation Integration</t>
        </is>
      </c>
      <c r="C129" s="8" t="inlineStr">
        <is>
          <t>Integration</t>
        </is>
      </c>
      <c r="D129" s="9" t="n">
        <v>5000</v>
      </c>
      <c r="E129" s="7" t="n">
        <v>1</v>
      </c>
      <c r="F129" s="9">
        <f>D129*E129</f>
        <v/>
      </c>
      <c r="G129" s="7" t="inlineStr">
        <is>
          <t>Yes</t>
        </is>
      </c>
      <c r="H129" s="8" t="n"/>
    </row>
    <row r="130">
      <c r="A130" s="10" t="n">
        <v>110</v>
      </c>
      <c r="B130" s="11" t="inlineStr">
        <is>
          <t>ERP / Accounting Integration</t>
        </is>
      </c>
      <c r="C130" s="11" t="inlineStr">
        <is>
          <t>Integration</t>
        </is>
      </c>
      <c r="D130" s="12" t="n">
        <v>15000</v>
      </c>
      <c r="E130" s="10" t="n">
        <v>1</v>
      </c>
      <c r="F130" s="12">
        <f>D130*E130</f>
        <v/>
      </c>
      <c r="G130" s="10" t="inlineStr">
        <is>
          <t>Yes</t>
        </is>
      </c>
      <c r="H130" s="11" t="n"/>
    </row>
    <row r="131">
      <c r="A131" s="5" t="inlineStr">
        <is>
          <t>TESTING &amp; QA</t>
        </is>
      </c>
      <c r="B131" s="6" t="n"/>
      <c r="C131" s="6" t="n"/>
      <c r="D131" s="6" t="n"/>
      <c r="E131" s="6" t="n"/>
      <c r="F131" s="6" t="n"/>
      <c r="G131" s="6" t="n"/>
      <c r="H131" s="6" t="n"/>
    </row>
    <row r="132">
      <c r="A132" s="7" t="n">
        <v>111</v>
      </c>
      <c r="B132" s="8" t="inlineStr">
        <is>
          <t>Cross-Browser Testing</t>
        </is>
      </c>
      <c r="C132" s="8" t="inlineStr">
        <is>
          <t>Testing</t>
        </is>
      </c>
      <c r="D132" s="9" t="n">
        <v>5000</v>
      </c>
      <c r="E132" s="7" t="n">
        <v>1</v>
      </c>
      <c r="F132" s="9">
        <f>D132*E132</f>
        <v/>
      </c>
      <c r="G132" s="7" t="inlineStr">
        <is>
          <t>Yes</t>
        </is>
      </c>
      <c r="H132" s="8" t="n"/>
    </row>
    <row r="133">
      <c r="A133" s="10" t="n">
        <v>112</v>
      </c>
      <c r="B133" s="11" t="inlineStr">
        <is>
          <t>Mobile Responsiveness Testing</t>
        </is>
      </c>
      <c r="C133" s="11" t="inlineStr">
        <is>
          <t>Testing</t>
        </is>
      </c>
      <c r="D133" s="12" t="n">
        <v>3000</v>
      </c>
      <c r="E133" s="10" t="n">
        <v>1</v>
      </c>
      <c r="F133" s="12">
        <f>D133*E133</f>
        <v/>
      </c>
      <c r="G133" s="10" t="inlineStr">
        <is>
          <t>Yes</t>
        </is>
      </c>
      <c r="H133" s="11" t="n"/>
    </row>
    <row r="134">
      <c r="A134" s="7" t="n">
        <v>113</v>
      </c>
      <c r="B134" s="8" t="inlineStr">
        <is>
          <t>Load / Stress Testing</t>
        </is>
      </c>
      <c r="C134" s="8" t="inlineStr">
        <is>
          <t>Testing</t>
        </is>
      </c>
      <c r="D134" s="9" t="n">
        <v>5000</v>
      </c>
      <c r="E134" s="7" t="n">
        <v>1</v>
      </c>
      <c r="F134" s="9">
        <f>D134*E134</f>
        <v/>
      </c>
      <c r="G134" s="7" t="inlineStr">
        <is>
          <t>Yes</t>
        </is>
      </c>
      <c r="H134" s="8" t="n"/>
    </row>
    <row r="135">
      <c r="A135" s="10" t="n">
        <v>114</v>
      </c>
      <c r="B135" s="11" t="inlineStr">
        <is>
          <t>Security Testing</t>
        </is>
      </c>
      <c r="C135" s="11" t="inlineStr">
        <is>
          <t>Testing</t>
        </is>
      </c>
      <c r="D135" s="12" t="n">
        <v>5000</v>
      </c>
      <c r="E135" s="10" t="n">
        <v>1</v>
      </c>
      <c r="F135" s="12">
        <f>D135*E135</f>
        <v/>
      </c>
      <c r="G135" s="10" t="inlineStr">
        <is>
          <t>Yes</t>
        </is>
      </c>
      <c r="H135" s="11" t="n"/>
    </row>
    <row r="136">
      <c r="A136" s="7" t="n">
        <v>115</v>
      </c>
      <c r="B136" s="8" t="inlineStr">
        <is>
          <t>User Acceptance Testing</t>
        </is>
      </c>
      <c r="C136" s="8" t="inlineStr">
        <is>
          <t>Testing</t>
        </is>
      </c>
      <c r="D136" s="9" t="n">
        <v>5000</v>
      </c>
      <c r="E136" s="7" t="n">
        <v>1</v>
      </c>
      <c r="F136" s="9">
        <f>D136*E136</f>
        <v/>
      </c>
      <c r="G136" s="7" t="inlineStr">
        <is>
          <t>Yes</t>
        </is>
      </c>
      <c r="H136" s="8" t="n"/>
    </row>
    <row r="138">
      <c r="A138" s="13" t="inlineStr">
        <is>
          <t>SUBTOTAL (All Items)</t>
        </is>
      </c>
      <c r="B138" s="14" t="n"/>
      <c r="C138" s="14" t="n"/>
      <c r="D138" s="14" t="n"/>
      <c r="E138" s="14" t="n"/>
      <c r="F138" s="15">
        <f>SUMPRODUCT((G7:G136="Yes")*F7:F136)</f>
        <v/>
      </c>
      <c r="G138" s="14" t="n"/>
      <c r="H138" s="14" t="n"/>
    </row>
    <row r="139">
      <c r="A139" s="16" t="n"/>
      <c r="B139" s="16" t="inlineStr">
        <is>
          <t>Complexity Multiplier</t>
        </is>
      </c>
      <c r="C139" s="16" t="n"/>
      <c r="D139" s="16" t="n"/>
      <c r="E139" s="17" t="n">
        <v>1</v>
      </c>
      <c r="F139" s="18">
        <f>F138*E139</f>
        <v/>
      </c>
      <c r="G139" s="16" t="n"/>
      <c r="H139" s="16" t="n"/>
    </row>
    <row r="140">
      <c r="A140" s="16" t="n"/>
      <c r="B140" s="16" t="inlineStr">
        <is>
          <t>Discount (%)</t>
        </is>
      </c>
      <c r="C140" s="16" t="n"/>
      <c r="D140" s="16" t="n"/>
      <c r="E140" s="17" t="n">
        <v>0</v>
      </c>
      <c r="F140" s="18">
        <f>F139*(1-E140/100)</f>
        <v/>
      </c>
      <c r="G140" s="16" t="n"/>
      <c r="H140" s="16" t="n"/>
    </row>
    <row r="141">
      <c r="A141" s="16" t="n"/>
      <c r="B141" s="16" t="inlineStr">
        <is>
          <t>GST (18%)</t>
        </is>
      </c>
      <c r="C141" s="16" t="n"/>
      <c r="D141" s="16" t="n"/>
      <c r="E141" s="16" t="n"/>
      <c r="F141" s="18">
        <f>F140*0.18</f>
        <v/>
      </c>
      <c r="G141" s="16" t="n"/>
      <c r="H141" s="16" t="n"/>
    </row>
    <row r="142">
      <c r="A142" s="19" t="inlineStr">
        <is>
          <t>GRAND TOTAL (incl. GST)</t>
        </is>
      </c>
      <c r="B142" s="20" t="n"/>
      <c r="C142" s="20" t="n"/>
      <c r="D142" s="20" t="n"/>
      <c r="E142" s="20" t="n"/>
      <c r="F142" s="21">
        <f>F140+F141</f>
        <v/>
      </c>
      <c r="G142" s="20" t="n"/>
      <c r="H142" s="20" t="n"/>
    </row>
    <row r="144">
      <c r="A144" s="5" t="inlineStr">
        <is>
          <t>PAYMENT SCHEDULE</t>
        </is>
      </c>
      <c r="B144" s="6" t="n"/>
      <c r="C144" s="6" t="n"/>
      <c r="D144" s="6" t="n"/>
      <c r="E144" s="6" t="n"/>
      <c r="F144" s="6" t="n"/>
      <c r="G144" s="6" t="n"/>
      <c r="H144" s="6" t="n"/>
    </row>
    <row r="145">
      <c r="A145" s="11" t="n"/>
      <c r="B145" s="11" t="inlineStr">
        <is>
          <t>Advance (Before Starting)</t>
        </is>
      </c>
      <c r="C145" s="11" t="n"/>
      <c r="D145" s="11" t="n"/>
      <c r="E145" s="11" t="inlineStr">
        <is>
          <t>30-50%</t>
        </is>
      </c>
      <c r="F145" s="12">
        <f>F142*0.4</f>
        <v/>
      </c>
      <c r="G145" s="11" t="n"/>
      <c r="H145" s="11" t="n"/>
    </row>
    <row r="146">
      <c r="A146" s="11" t="n"/>
      <c r="B146" s="11" t="inlineStr">
        <is>
          <t>After Design Approval</t>
        </is>
      </c>
      <c r="C146" s="11" t="n"/>
      <c r="D146" s="11" t="n"/>
      <c r="E146" s="11" t="inlineStr">
        <is>
          <t>20-30%</t>
        </is>
      </c>
      <c r="F146" s="12">
        <f>F142*0.25</f>
        <v/>
      </c>
      <c r="G146" s="11" t="n"/>
      <c r="H146" s="11" t="n"/>
    </row>
    <row r="147">
      <c r="A147" s="11" t="n"/>
      <c r="B147" s="11" t="inlineStr">
        <is>
          <t>After Development Completion</t>
        </is>
      </c>
      <c r="C147" s="11" t="n"/>
      <c r="D147" s="11" t="n"/>
      <c r="E147" s="11" t="inlineStr">
        <is>
          <t>20-30%</t>
        </is>
      </c>
      <c r="F147" s="12">
        <f>F142*0.25</f>
        <v/>
      </c>
      <c r="G147" s="11" t="n"/>
      <c r="H147" s="11" t="n"/>
    </row>
    <row r="148">
      <c r="A148" s="11" t="n"/>
      <c r="B148" s="11" t="inlineStr">
        <is>
          <t>After Launch &amp; Handover</t>
        </is>
      </c>
      <c r="C148" s="11" t="n"/>
      <c r="D148" s="11" t="n"/>
      <c r="E148" s="11" t="inlineStr">
        <is>
          <t>10-20%</t>
        </is>
      </c>
      <c r="F148" s="12">
        <f>F142*0.1</f>
        <v/>
      </c>
      <c r="G148" s="11" t="n"/>
      <c r="H148" s="11" t="n"/>
    </row>
  </sheetData>
  <mergeCells count="22">
    <mergeCell ref="A48:H48"/>
    <mergeCell ref="A30:H30"/>
    <mergeCell ref="A73:H73"/>
    <mergeCell ref="A142:E142"/>
    <mergeCell ref="A138:E138"/>
    <mergeCell ref="A94:H94"/>
    <mergeCell ref="A103:H103"/>
    <mergeCell ref="A1:H1"/>
    <mergeCell ref="A119:H119"/>
    <mergeCell ref="A88:H88"/>
    <mergeCell ref="A124:H124"/>
    <mergeCell ref="A7:H7"/>
    <mergeCell ref="A12:H12"/>
    <mergeCell ref="A18:H18"/>
    <mergeCell ref="A3:H3"/>
    <mergeCell ref="A2:H2"/>
    <mergeCell ref="A23:H23"/>
    <mergeCell ref="A131:H131"/>
    <mergeCell ref="A4:H4"/>
    <mergeCell ref="A144:H144"/>
    <mergeCell ref="A115:H115"/>
    <mergeCell ref="A111:H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WEBSITE MAINTENANCE PLANS</t>
        </is>
      </c>
      <c r="B1" s="2" t="n"/>
      <c r="C1" s="2" t="n"/>
      <c r="D1" s="2" t="n"/>
      <c r="E1" s="2" t="n"/>
      <c r="F1" s="2" t="n"/>
      <c r="G1" s="2" t="n"/>
    </row>
    <row r="3">
      <c r="A3" s="22" t="inlineStr">
        <is>
          <t>#</t>
        </is>
      </c>
      <c r="B3" s="22" t="inlineStr">
        <is>
          <t>Service</t>
        </is>
      </c>
      <c r="C3" s="22" t="inlineStr">
        <is>
          <t>Basic
₹3K/mo</t>
        </is>
      </c>
      <c r="D3" s="22" t="inlineStr">
        <is>
          <t>Standard
₹8K/mo</t>
        </is>
      </c>
      <c r="E3" s="22" t="inlineStr">
        <is>
          <t>Professional
₹15K/mo</t>
        </is>
      </c>
      <c r="F3" s="22" t="inlineStr">
        <is>
          <t>Enterprise
₹30K/mo</t>
        </is>
      </c>
      <c r="G3" s="22" t="inlineStr">
        <is>
          <t>Premium
₹50K/mo</t>
        </is>
      </c>
    </row>
    <row r="4">
      <c r="A4" s="7" t="n">
        <v>1</v>
      </c>
      <c r="B4" s="8" t="inlineStr">
        <is>
          <t>Uptime Monitoring</t>
        </is>
      </c>
      <c r="C4" s="7" t="inlineStr">
        <is>
          <t>✓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</row>
    <row r="5">
      <c r="A5" s="10" t="n">
        <v>2</v>
      </c>
      <c r="B5" s="11" t="inlineStr">
        <is>
          <t>Monthly Backups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</row>
    <row r="6">
      <c r="A6" s="7" t="n">
        <v>3</v>
      </c>
      <c r="B6" s="8" t="inlineStr">
        <is>
          <t>Weekly Backups</t>
        </is>
      </c>
      <c r="C6" s="7" t="inlineStr">
        <is>
          <t>✗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</row>
    <row r="7">
      <c r="A7" s="10" t="n">
        <v>4</v>
      </c>
      <c r="B7" s="11" t="inlineStr">
        <is>
          <t>Daily Backups</t>
        </is>
      </c>
      <c r="C7" s="10" t="inlineStr">
        <is>
          <t>✗</t>
        </is>
      </c>
      <c r="D7" s="10" t="inlineStr">
        <is>
          <t>✗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</row>
    <row r="8">
      <c r="A8" s="7" t="n">
        <v>5</v>
      </c>
      <c r="B8" s="8" t="inlineStr">
        <is>
          <t>Security Updates</t>
        </is>
      </c>
      <c r="C8" s="7" t="inlineStr">
        <is>
          <t>Quarterly</t>
        </is>
      </c>
      <c r="D8" s="7" t="inlineStr">
        <is>
          <t>Monthly</t>
        </is>
      </c>
      <c r="E8" s="7" t="inlineStr">
        <is>
          <t>Weekly</t>
        </is>
      </c>
      <c r="F8" s="7" t="inlineStr">
        <is>
          <t>Weekly</t>
        </is>
      </c>
      <c r="G8" s="7" t="inlineStr">
        <is>
          <t>Daily</t>
        </is>
      </c>
    </row>
    <row r="9">
      <c r="A9" s="10" t="n">
        <v>6</v>
      </c>
      <c r="B9" s="11" t="inlineStr">
        <is>
          <t>Plugin / Library Updates</t>
        </is>
      </c>
      <c r="C9" s="10" t="inlineStr">
        <is>
          <t>✗</t>
        </is>
      </c>
      <c r="D9" s="10" t="inlineStr">
        <is>
          <t>Monthly</t>
        </is>
      </c>
      <c r="E9" s="10" t="inlineStr">
        <is>
          <t>Bi-weekly</t>
        </is>
      </c>
      <c r="F9" s="10" t="inlineStr">
        <is>
          <t>Weekly</t>
        </is>
      </c>
      <c r="G9" s="10" t="inlineStr">
        <is>
          <t>As needed</t>
        </is>
      </c>
    </row>
    <row r="10">
      <c r="A10" s="7" t="n">
        <v>7</v>
      </c>
      <c r="B10" s="8" t="inlineStr">
        <is>
          <t>Content Updates (per month)</t>
        </is>
      </c>
      <c r="C10" s="7" t="inlineStr">
        <is>
          <t>2</t>
        </is>
      </c>
      <c r="D10" s="7" t="inlineStr">
        <is>
          <t>5</t>
        </is>
      </c>
      <c r="E10" s="7" t="inlineStr">
        <is>
          <t>10</t>
        </is>
      </c>
      <c r="F10" s="7" t="inlineStr">
        <is>
          <t>Unlimited</t>
        </is>
      </c>
      <c r="G10" s="7" t="inlineStr">
        <is>
          <t>Unlimited</t>
        </is>
      </c>
    </row>
    <row r="11">
      <c r="A11" s="10" t="n">
        <v>8</v>
      </c>
      <c r="B11" s="11" t="inlineStr">
        <is>
          <t>Bug Fixes</t>
        </is>
      </c>
      <c r="C11" s="10" t="inlineStr">
        <is>
          <t>Critical</t>
        </is>
      </c>
      <c r="D11" s="10" t="inlineStr">
        <is>
          <t>All</t>
        </is>
      </c>
      <c r="E11" s="10" t="inlineStr">
        <is>
          <t>All+Priority</t>
        </is>
      </c>
      <c r="F11" s="10" t="inlineStr">
        <is>
          <t>All+Priority</t>
        </is>
      </c>
      <c r="G11" s="10" t="inlineStr">
        <is>
          <t>All+Priority</t>
        </is>
      </c>
    </row>
    <row r="12">
      <c r="A12" s="7" t="n">
        <v>9</v>
      </c>
      <c r="B12" s="8" t="inlineStr">
        <is>
          <t>Performance Monitoring</t>
        </is>
      </c>
      <c r="C12" s="7" t="inlineStr">
        <is>
          <t>✗</t>
        </is>
      </c>
      <c r="D12" s="7" t="inlineStr">
        <is>
          <t>Basic</t>
        </is>
      </c>
      <c r="E12" s="7" t="inlineStr">
        <is>
          <t>Advanced</t>
        </is>
      </c>
      <c r="F12" s="7" t="inlineStr">
        <is>
          <t>Advanced</t>
        </is>
      </c>
      <c r="G12" s="7" t="inlineStr">
        <is>
          <t>Real-time</t>
        </is>
      </c>
    </row>
    <row r="13">
      <c r="A13" s="10" t="n">
        <v>10</v>
      </c>
      <c r="B13" s="11" t="inlineStr">
        <is>
          <t>SSL Renewal Management</t>
        </is>
      </c>
      <c r="C13" s="10" t="inlineStr">
        <is>
          <t>✓</t>
        </is>
      </c>
      <c r="D13" s="10" t="inlineStr">
        <is>
          <t>✓</t>
        </is>
      </c>
      <c r="E13" s="10" t="inlineStr">
        <is>
          <t>✓</t>
        </is>
      </c>
      <c r="F13" s="10" t="inlineStr">
        <is>
          <t>✓</t>
        </is>
      </c>
      <c r="G13" s="10" t="inlineStr">
        <is>
          <t>✓</t>
        </is>
      </c>
    </row>
    <row r="14">
      <c r="A14" s="7" t="n">
        <v>11</v>
      </c>
      <c r="B14" s="8" t="inlineStr">
        <is>
          <t>SEO Monitoring</t>
        </is>
      </c>
      <c r="C14" s="7" t="inlineStr">
        <is>
          <t>✗</t>
        </is>
      </c>
      <c r="D14" s="7" t="inlineStr">
        <is>
          <t>Basic</t>
        </is>
      </c>
      <c r="E14" s="7" t="inlineStr">
        <is>
          <t>Full</t>
        </is>
      </c>
      <c r="F14" s="7" t="inlineStr">
        <is>
          <t>Full</t>
        </is>
      </c>
      <c r="G14" s="7" t="inlineStr">
        <is>
          <t>Full+Reports</t>
        </is>
      </c>
    </row>
    <row r="15">
      <c r="A15" s="10" t="n">
        <v>12</v>
      </c>
      <c r="B15" s="11" t="inlineStr">
        <is>
          <t>Analytics Reports</t>
        </is>
      </c>
      <c r="C15" s="10" t="inlineStr">
        <is>
          <t>✗</t>
        </is>
      </c>
      <c r="D15" s="10" t="inlineStr">
        <is>
          <t>Monthly</t>
        </is>
      </c>
      <c r="E15" s="10" t="inlineStr">
        <is>
          <t>Bi-weekly</t>
        </is>
      </c>
      <c r="F15" s="10" t="inlineStr">
        <is>
          <t>Weekly</t>
        </is>
      </c>
      <c r="G15" s="10" t="inlineStr">
        <is>
          <t>Daily</t>
        </is>
      </c>
    </row>
    <row r="16">
      <c r="A16" s="7" t="n">
        <v>13</v>
      </c>
      <c r="B16" s="8" t="inlineStr">
        <is>
          <t>Support Response Time</t>
        </is>
      </c>
      <c r="C16" s="7" t="inlineStr">
        <is>
          <t>48hrs</t>
        </is>
      </c>
      <c r="D16" s="7" t="inlineStr">
        <is>
          <t>24hrs</t>
        </is>
      </c>
      <c r="E16" s="7" t="inlineStr">
        <is>
          <t>12hrs</t>
        </is>
      </c>
      <c r="F16" s="7" t="inlineStr">
        <is>
          <t>6hrs</t>
        </is>
      </c>
      <c r="G16" s="7" t="inlineStr">
        <is>
          <t>2hrs</t>
        </is>
      </c>
    </row>
    <row r="17">
      <c r="A17" s="10" t="n">
        <v>14</v>
      </c>
      <c r="B17" s="11" t="inlineStr">
        <is>
          <t>Support Channels</t>
        </is>
      </c>
      <c r="C17" s="10" t="inlineStr">
        <is>
          <t>Email</t>
        </is>
      </c>
      <c r="D17" s="10" t="inlineStr">
        <is>
          <t>Email+Chat</t>
        </is>
      </c>
      <c r="E17" s="10" t="inlineStr">
        <is>
          <t>Email+Chat+Call</t>
        </is>
      </c>
      <c r="F17" s="10" t="inlineStr">
        <is>
          <t>All+Dedicated</t>
        </is>
      </c>
      <c r="G17" s="10" t="inlineStr">
        <is>
          <t>All+Dedicated</t>
        </is>
      </c>
    </row>
    <row r="18">
      <c r="A18" s="7" t="n">
        <v>15</v>
      </c>
      <c r="B18" s="8" t="inlineStr">
        <is>
          <t>Feature Enhancements</t>
        </is>
      </c>
      <c r="C18" s="7" t="inlineStr">
        <is>
          <t>✗</t>
        </is>
      </c>
      <c r="D18" s="7" t="inlineStr">
        <is>
          <t>1 small/mo</t>
        </is>
      </c>
      <c r="E18" s="7" t="inlineStr">
        <is>
          <t>2 small/mo</t>
        </is>
      </c>
      <c r="F18" s="7" t="inlineStr">
        <is>
          <t>4/mo</t>
        </is>
      </c>
      <c r="G18" s="7" t="inlineStr">
        <is>
          <t>Unlimited</t>
        </is>
      </c>
    </row>
    <row r="19">
      <c r="A19" s="10" t="n">
        <v>16</v>
      </c>
      <c r="B19" s="11" t="inlineStr">
        <is>
          <t>Server Management</t>
        </is>
      </c>
      <c r="C19" s="10" t="inlineStr">
        <is>
          <t>✗</t>
        </is>
      </c>
      <c r="D19" s="10" t="inlineStr">
        <is>
          <t>Basic</t>
        </is>
      </c>
      <c r="E19" s="10" t="inlineStr">
        <is>
          <t>Full</t>
        </is>
      </c>
      <c r="F19" s="10" t="inlineStr">
        <is>
          <t>Full</t>
        </is>
      </c>
      <c r="G19" s="10" t="inlineStr">
        <is>
          <t>Full+Scaling</t>
        </is>
      </c>
    </row>
    <row r="20">
      <c r="A20" s="7" t="n">
        <v>17</v>
      </c>
      <c r="B20" s="8" t="inlineStr">
        <is>
          <t>Disaster Recovery</t>
        </is>
      </c>
      <c r="C20" s="7" t="inlineStr">
        <is>
          <t>✗</t>
        </is>
      </c>
      <c r="D20" s="7" t="inlineStr">
        <is>
          <t>✗</t>
        </is>
      </c>
      <c r="E20" s="7" t="inlineStr">
        <is>
          <t>Basic</t>
        </is>
      </c>
      <c r="F20" s="7" t="inlineStr">
        <is>
          <t>Full</t>
        </is>
      </c>
      <c r="G20" s="7" t="inlineStr">
        <is>
          <t>Full+Testing</t>
        </is>
      </c>
    </row>
    <row r="21">
      <c r="A21" s="10" t="n">
        <v>18</v>
      </c>
      <c r="B21" s="11" t="inlineStr">
        <is>
          <t>Priority Support</t>
        </is>
      </c>
      <c r="C21" s="10" t="inlineStr">
        <is>
          <t>✗</t>
        </is>
      </c>
      <c r="D21" s="10" t="inlineStr">
        <is>
          <t>✗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23" t="inlineStr">
        <is>
          <t>DEVELOPER HOURLY RATES REFERENCE</t>
        </is>
      </c>
      <c r="B1" s="24" t="n"/>
      <c r="C1" s="24" t="n"/>
      <c r="D1" s="24" t="n"/>
      <c r="E1" s="24" t="n"/>
    </row>
    <row r="3">
      <c r="A3" s="22" t="inlineStr">
        <is>
          <t>#</t>
        </is>
      </c>
      <c r="B3" s="22" t="inlineStr">
        <is>
          <t>Developer Level</t>
        </is>
      </c>
      <c r="C3" s="22" t="inlineStr">
        <is>
          <t>Rate (₹/hr)</t>
        </is>
      </c>
      <c r="D3" s="22" t="inlineStr">
        <is>
          <t>Rate ($/hr)</t>
        </is>
      </c>
      <c r="E3" s="22" t="inlineStr">
        <is>
          <t>Monthly (160 hrs)</t>
        </is>
      </c>
    </row>
    <row r="4">
      <c r="A4" s="7" t="n">
        <v>1</v>
      </c>
      <c r="B4" s="8" t="inlineStr">
        <is>
          <t>Junior Developer (0-2 yrs)</t>
        </is>
      </c>
      <c r="C4" s="9" t="n">
        <v>500</v>
      </c>
      <c r="D4" s="25" t="n">
        <v>8</v>
      </c>
      <c r="E4" s="9">
        <f>C4*160</f>
        <v/>
      </c>
    </row>
    <row r="5">
      <c r="A5" s="10" t="n">
        <v>2</v>
      </c>
      <c r="B5" s="11" t="inlineStr">
        <is>
          <t>Mid-Level Developer (2-5 yrs)</t>
        </is>
      </c>
      <c r="C5" s="12" t="n">
        <v>1000</v>
      </c>
      <c r="D5" s="26" t="n">
        <v>15</v>
      </c>
      <c r="E5" s="12">
        <f>C5*160</f>
        <v/>
      </c>
    </row>
    <row r="6">
      <c r="A6" s="7" t="n">
        <v>3</v>
      </c>
      <c r="B6" s="8" t="inlineStr">
        <is>
          <t>Senior Developer (5-8 yrs)</t>
        </is>
      </c>
      <c r="C6" s="9" t="n">
        <v>1800</v>
      </c>
      <c r="D6" s="25" t="n">
        <v>25</v>
      </c>
      <c r="E6" s="9">
        <f>C6*160</f>
        <v/>
      </c>
    </row>
    <row r="7">
      <c r="A7" s="10" t="n">
        <v>4</v>
      </c>
      <c r="B7" s="11" t="inlineStr">
        <is>
          <t>Lead Developer (8+ yrs)</t>
        </is>
      </c>
      <c r="C7" s="12" t="n">
        <v>2500</v>
      </c>
      <c r="D7" s="26" t="n">
        <v>35</v>
      </c>
      <c r="E7" s="12">
        <f>C7*160</f>
        <v/>
      </c>
    </row>
    <row r="8">
      <c r="A8" s="7" t="n">
        <v>5</v>
      </c>
      <c r="B8" s="8" t="inlineStr">
        <is>
          <t>UI/UX Designer (Mid)</t>
        </is>
      </c>
      <c r="C8" s="9" t="n">
        <v>1200</v>
      </c>
      <c r="D8" s="25" t="n">
        <v>18</v>
      </c>
      <c r="E8" s="9">
        <f>C8*160</f>
        <v/>
      </c>
    </row>
    <row r="9">
      <c r="A9" s="10" t="n">
        <v>6</v>
      </c>
      <c r="B9" s="11" t="inlineStr">
        <is>
          <t>UI/UX Designer (Senior)</t>
        </is>
      </c>
      <c r="C9" s="12" t="n">
        <v>2000</v>
      </c>
      <c r="D9" s="26" t="n">
        <v>30</v>
      </c>
      <c r="E9" s="12">
        <f>C9*160</f>
        <v/>
      </c>
    </row>
    <row r="10">
      <c r="A10" s="7" t="n">
        <v>7</v>
      </c>
      <c r="B10" s="8" t="inlineStr">
        <is>
          <t>Full-Stack Developer (Mid)</t>
        </is>
      </c>
      <c r="C10" s="9" t="n">
        <v>1200</v>
      </c>
      <c r="D10" s="25" t="n">
        <v>18</v>
      </c>
      <c r="E10" s="9">
        <f>C10*160</f>
        <v/>
      </c>
    </row>
    <row r="11">
      <c r="A11" s="10" t="n">
        <v>8</v>
      </c>
      <c r="B11" s="11" t="inlineStr">
        <is>
          <t>Full-Stack Developer (Senior)</t>
        </is>
      </c>
      <c r="C11" s="12" t="n">
        <v>2200</v>
      </c>
      <c r="D11" s="26" t="n">
        <v>30</v>
      </c>
      <c r="E11" s="12">
        <f>C11*160</f>
        <v/>
      </c>
    </row>
    <row r="12">
      <c r="A12" s="7" t="n">
        <v>9</v>
      </c>
      <c r="B12" s="8" t="inlineStr">
        <is>
          <t>DevOps Engineer</t>
        </is>
      </c>
      <c r="C12" s="9" t="n">
        <v>2000</v>
      </c>
      <c r="D12" s="25" t="n">
        <v>28</v>
      </c>
      <c r="E12" s="9">
        <f>C12*160</f>
        <v/>
      </c>
    </row>
    <row r="13">
      <c r="A13" s="10" t="n">
        <v>10</v>
      </c>
      <c r="B13" s="11" t="inlineStr">
        <is>
          <t>QA / Tester</t>
        </is>
      </c>
      <c r="C13" s="12" t="n">
        <v>800</v>
      </c>
      <c r="D13" s="26" t="n">
        <v>12</v>
      </c>
      <c r="E13" s="12">
        <f>C13*160</f>
        <v/>
      </c>
    </row>
    <row r="14">
      <c r="A14" s="7" t="n">
        <v>11</v>
      </c>
      <c r="B14" s="8" t="inlineStr">
        <is>
          <t>Project Manager</t>
        </is>
      </c>
      <c r="C14" s="9" t="n">
        <v>1500</v>
      </c>
      <c r="D14" s="25" t="n">
        <v>22</v>
      </c>
      <c r="E14" s="9">
        <f>C14*160</f>
        <v/>
      </c>
    </row>
    <row r="15">
      <c r="A15" s="10" t="n">
        <v>12</v>
      </c>
      <c r="B15" s="11" t="inlineStr">
        <is>
          <t>Technical Architect</t>
        </is>
      </c>
      <c r="C15" s="12" t="n">
        <v>3000</v>
      </c>
      <c r="D15" s="26" t="n">
        <v>45</v>
      </c>
      <c r="E15" s="12">
        <f>C15*160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2026-03-03T07:08:47Z</dcterms:created>
  <dcterms:modified xmlns:dcterms="http://purl.org/dc/terms/" xmlns:xsi="http://www.w3.org/2001/XMLSchema-instance" xsi:type="dcterms:W3CDTF">2026-03-03T07:08:47Z</dcterms:modified>
</cp:coreProperties>
</file>